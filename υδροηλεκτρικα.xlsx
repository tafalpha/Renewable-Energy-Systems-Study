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384" activeTab="1"/>
  </bookViews>
  <sheets>
    <sheet name="1ο ερωτημα" sheetId="1" r:id="rId1"/>
    <sheet name="2ο ερωτημα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2" l="1"/>
  <c r="S50" i="2"/>
  <c r="C75" i="2"/>
  <c r="C74" i="2" s="1"/>
  <c r="C79" i="2" s="1"/>
  <c r="S49" i="2"/>
  <c r="U38" i="2"/>
  <c r="S38" i="2"/>
  <c r="R38" i="2"/>
  <c r="R39" i="2"/>
  <c r="R40" i="2"/>
  <c r="R41" i="2"/>
  <c r="R42" i="2"/>
  <c r="R43" i="2"/>
  <c r="R44" i="2"/>
  <c r="R45" i="2"/>
  <c r="R46" i="2"/>
  <c r="R47" i="2"/>
  <c r="R37" i="2"/>
  <c r="Q37" i="2"/>
  <c r="Q38" i="2"/>
  <c r="Q39" i="2"/>
  <c r="P39" i="2"/>
  <c r="Q40" i="2"/>
  <c r="Q41" i="2"/>
  <c r="Q42" i="2"/>
  <c r="Q43" i="2"/>
  <c r="Q44" i="2"/>
  <c r="Q45" i="2"/>
  <c r="Q46" i="2"/>
  <c r="Q47" i="2"/>
  <c r="K38" i="2"/>
  <c r="K39" i="2"/>
  <c r="K40" i="2"/>
  <c r="K41" i="2"/>
  <c r="K42" i="2"/>
  <c r="K43" i="2"/>
  <c r="K44" i="2"/>
  <c r="K45" i="2"/>
  <c r="K46" i="2"/>
  <c r="K47" i="2"/>
  <c r="K37" i="2"/>
  <c r="H38" i="2"/>
  <c r="H39" i="2"/>
  <c r="H40" i="2"/>
  <c r="H41" i="2"/>
  <c r="H42" i="2"/>
  <c r="H43" i="2"/>
  <c r="O43" i="2" s="1"/>
  <c r="H44" i="2"/>
  <c r="H45" i="2"/>
  <c r="H46" i="2"/>
  <c r="H47" i="2"/>
  <c r="H37" i="2"/>
  <c r="G38" i="2"/>
  <c r="G39" i="2"/>
  <c r="G40" i="2"/>
  <c r="G41" i="2"/>
  <c r="G42" i="2"/>
  <c r="G43" i="2"/>
  <c r="G44" i="2"/>
  <c r="G45" i="2"/>
  <c r="G46" i="2"/>
  <c r="G47" i="2"/>
  <c r="G37" i="2"/>
  <c r="F41" i="2"/>
  <c r="F42" i="2"/>
  <c r="F43" i="2"/>
  <c r="F44" i="2"/>
  <c r="F45" i="2"/>
  <c r="F46" i="2"/>
  <c r="F47" i="2"/>
  <c r="F38" i="2"/>
  <c r="F39" i="2"/>
  <c r="F40" i="2"/>
  <c r="F37" i="2"/>
  <c r="E38" i="2"/>
  <c r="E39" i="2"/>
  <c r="E40" i="2"/>
  <c r="E41" i="2"/>
  <c r="E42" i="2"/>
  <c r="E43" i="2"/>
  <c r="E44" i="2"/>
  <c r="E45" i="2"/>
  <c r="E46" i="2"/>
  <c r="E47" i="2"/>
  <c r="E37" i="2"/>
  <c r="D38" i="2"/>
  <c r="I38" i="2" s="1"/>
  <c r="D39" i="2"/>
  <c r="D40" i="2"/>
  <c r="D41" i="2"/>
  <c r="D42" i="2"/>
  <c r="I42" i="2" s="1"/>
  <c r="D43" i="2"/>
  <c r="I43" i="2" s="1"/>
  <c r="D44" i="2"/>
  <c r="D45" i="2"/>
  <c r="D46" i="2"/>
  <c r="I46" i="2" s="1"/>
  <c r="D47" i="2"/>
  <c r="I47" i="2" s="1"/>
  <c r="D37" i="2"/>
  <c r="I39" i="2"/>
  <c r="I40" i="2"/>
  <c r="I41" i="2"/>
  <c r="C29" i="2"/>
  <c r="M3" i="2"/>
  <c r="J4" i="2"/>
  <c r="J3" i="2"/>
  <c r="C31" i="2" s="1"/>
  <c r="G14" i="2"/>
  <c r="G13" i="2"/>
  <c r="G12" i="2"/>
  <c r="G8" i="2"/>
  <c r="G1" i="2"/>
  <c r="C16" i="2"/>
  <c r="C15" i="2"/>
  <c r="C13" i="2"/>
  <c r="C11" i="2"/>
  <c r="C9" i="2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25" i="1"/>
  <c r="O35" i="1"/>
  <c r="P31" i="1"/>
  <c r="P30" i="1"/>
  <c r="P29" i="1"/>
  <c r="P28" i="1"/>
  <c r="L26" i="1"/>
  <c r="L27" i="1"/>
  <c r="L28" i="1"/>
  <c r="L29" i="1"/>
  <c r="L30" i="1"/>
  <c r="L31" i="1"/>
  <c r="L32" i="1"/>
  <c r="L33" i="1"/>
  <c r="L34" i="1"/>
  <c r="L35" i="1"/>
  <c r="L36" i="1"/>
  <c r="L25" i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G109" i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4" i="1"/>
  <c r="F26" i="1" s="1"/>
  <c r="E18" i="1"/>
  <c r="F18" i="1"/>
  <c r="G18" i="1"/>
  <c r="H18" i="1"/>
  <c r="I18" i="1"/>
  <c r="J18" i="1"/>
  <c r="K18" i="1"/>
  <c r="D18" i="1"/>
  <c r="L7" i="1"/>
  <c r="L8" i="1"/>
  <c r="L9" i="1"/>
  <c r="L10" i="1"/>
  <c r="L11" i="1"/>
  <c r="L12" i="1"/>
  <c r="L13" i="1"/>
  <c r="L14" i="1"/>
  <c r="L15" i="1"/>
  <c r="L16" i="1"/>
  <c r="L17" i="1"/>
  <c r="L6" i="1"/>
  <c r="Q3" i="1"/>
  <c r="Q2" i="1"/>
  <c r="I75" i="2" l="1"/>
  <c r="C77" i="2"/>
  <c r="C78" i="2"/>
  <c r="C76" i="2"/>
  <c r="I74" i="2"/>
  <c r="I45" i="2"/>
  <c r="P43" i="2"/>
  <c r="I44" i="2"/>
  <c r="J43" i="2"/>
  <c r="I37" i="2"/>
  <c r="D9" i="2"/>
  <c r="E9" i="2" s="1"/>
  <c r="D14" i="2"/>
  <c r="E14" i="2" s="1"/>
  <c r="D15" i="2"/>
  <c r="D16" i="2"/>
  <c r="C32" i="2"/>
  <c r="D17" i="2"/>
  <c r="D11" i="2"/>
  <c r="D13" i="2"/>
  <c r="D12" i="2"/>
  <c r="D8" i="2"/>
  <c r="D18" i="2"/>
  <c r="E18" i="2" s="1"/>
  <c r="D10" i="2"/>
  <c r="E17" i="2"/>
  <c r="G2" i="2"/>
  <c r="C30" i="2" s="1"/>
  <c r="F97" i="1"/>
  <c r="F65" i="1"/>
  <c r="F33" i="1"/>
  <c r="F96" i="1"/>
  <c r="F64" i="1"/>
  <c r="F48" i="1"/>
  <c r="F103" i="1"/>
  <c r="F94" i="1"/>
  <c r="F70" i="1"/>
  <c r="F62" i="1"/>
  <c r="F54" i="1"/>
  <c r="F46" i="1"/>
  <c r="F38" i="1"/>
  <c r="F30" i="1"/>
  <c r="F73" i="1"/>
  <c r="F41" i="1"/>
  <c r="F80" i="1"/>
  <c r="F40" i="1"/>
  <c r="F87" i="1"/>
  <c r="F63" i="1"/>
  <c r="F31" i="1"/>
  <c r="F25" i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F85" i="1"/>
  <c r="F61" i="1"/>
  <c r="F29" i="1"/>
  <c r="F108" i="1"/>
  <c r="F100" i="1"/>
  <c r="F92" i="1"/>
  <c r="F84" i="1"/>
  <c r="F76" i="1"/>
  <c r="F68" i="1"/>
  <c r="F60" i="1"/>
  <c r="F52" i="1"/>
  <c r="F44" i="1"/>
  <c r="F36" i="1"/>
  <c r="F28" i="1"/>
  <c r="F105" i="1"/>
  <c r="F81" i="1"/>
  <c r="F49" i="1"/>
  <c r="F88" i="1"/>
  <c r="F56" i="1"/>
  <c r="F95" i="1"/>
  <c r="F71" i="1"/>
  <c r="F47" i="1"/>
  <c r="F102" i="1"/>
  <c r="F78" i="1"/>
  <c r="F93" i="1"/>
  <c r="F69" i="1"/>
  <c r="F45" i="1"/>
  <c r="F107" i="1"/>
  <c r="F99" i="1"/>
  <c r="F91" i="1"/>
  <c r="F83" i="1"/>
  <c r="F75" i="1"/>
  <c r="F67" i="1"/>
  <c r="F59" i="1"/>
  <c r="F51" i="1"/>
  <c r="F43" i="1"/>
  <c r="F35" i="1"/>
  <c r="F27" i="1"/>
  <c r="F89" i="1"/>
  <c r="F57" i="1"/>
  <c r="F104" i="1"/>
  <c r="F72" i="1"/>
  <c r="F32" i="1"/>
  <c r="F79" i="1"/>
  <c r="F55" i="1"/>
  <c r="F39" i="1"/>
  <c r="F86" i="1"/>
  <c r="F101" i="1"/>
  <c r="F77" i="1"/>
  <c r="F53" i="1"/>
  <c r="F37" i="1"/>
  <c r="F106" i="1"/>
  <c r="F98" i="1"/>
  <c r="F90" i="1"/>
  <c r="F82" i="1"/>
  <c r="F74" i="1"/>
  <c r="F66" i="1"/>
  <c r="F58" i="1"/>
  <c r="F50" i="1"/>
  <c r="F42" i="1"/>
  <c r="F34" i="1"/>
  <c r="E90" i="2" l="1"/>
  <c r="E91" i="2"/>
  <c r="E84" i="2"/>
  <c r="E92" i="2"/>
  <c r="E85" i="2"/>
  <c r="E93" i="2"/>
  <c r="E88" i="2"/>
  <c r="E89" i="2"/>
  <c r="E86" i="2"/>
  <c r="E83" i="2"/>
  <c r="E87" i="2"/>
  <c r="O40" i="2"/>
  <c r="J40" i="2"/>
  <c r="U40" i="2"/>
  <c r="O39" i="2"/>
  <c r="J39" i="2"/>
  <c r="O47" i="2"/>
  <c r="J47" i="2"/>
  <c r="O41" i="2"/>
  <c r="J41" i="2"/>
  <c r="O42" i="2"/>
  <c r="J42" i="2"/>
  <c r="U43" i="2"/>
  <c r="U41" i="2"/>
  <c r="O44" i="2"/>
  <c r="J44" i="2"/>
  <c r="U44" i="2"/>
  <c r="O45" i="2"/>
  <c r="J45" i="2"/>
  <c r="O38" i="2"/>
  <c r="J38" i="2"/>
  <c r="U39" i="2"/>
  <c r="O46" i="2"/>
  <c r="J46" i="2"/>
  <c r="U46" i="2"/>
  <c r="J37" i="2"/>
  <c r="O37" i="2"/>
  <c r="F14" i="2"/>
  <c r="H14" i="2"/>
  <c r="F9" i="2"/>
  <c r="H9" i="2" s="1"/>
  <c r="K10" i="2"/>
  <c r="E11" i="2"/>
  <c r="K12" i="2"/>
  <c r="F11" i="2"/>
  <c r="H11" i="2"/>
  <c r="E13" i="2"/>
  <c r="F13" i="2"/>
  <c r="K14" i="2"/>
  <c r="E15" i="2"/>
  <c r="H15" i="2" s="1"/>
  <c r="K16" i="2"/>
  <c r="F15" i="2"/>
  <c r="E10" i="2"/>
  <c r="K11" i="2"/>
  <c r="F10" i="2"/>
  <c r="K18" i="2"/>
  <c r="F17" i="2"/>
  <c r="H17" i="2" s="1"/>
  <c r="K15" i="2"/>
  <c r="E12" i="2"/>
  <c r="K13" i="2"/>
  <c r="F12" i="2"/>
  <c r="H12" i="2" s="1"/>
  <c r="E16" i="2"/>
  <c r="H16" i="2" s="1"/>
  <c r="K17" i="2"/>
  <c r="F16" i="2"/>
  <c r="F18" i="2"/>
  <c r="H18" i="2"/>
  <c r="E8" i="2"/>
  <c r="K9" i="2"/>
  <c r="F8" i="2"/>
  <c r="I92" i="2" l="1"/>
  <c r="F92" i="2"/>
  <c r="I89" i="2"/>
  <c r="F89" i="2"/>
  <c r="G89" i="2" s="1"/>
  <c r="F93" i="2"/>
  <c r="I93" i="2"/>
  <c r="G93" i="2"/>
  <c r="H93" i="2" s="1"/>
  <c r="M93" i="2" s="1"/>
  <c r="I87" i="2"/>
  <c r="F87" i="2"/>
  <c r="G87" i="2" s="1"/>
  <c r="F84" i="2"/>
  <c r="I84" i="2"/>
  <c r="G84" i="2"/>
  <c r="F85" i="2"/>
  <c r="G85" i="2" s="1"/>
  <c r="I85" i="2"/>
  <c r="I83" i="2"/>
  <c r="F83" i="2"/>
  <c r="I91" i="2"/>
  <c r="F91" i="2"/>
  <c r="G91" i="2" s="1"/>
  <c r="I88" i="2"/>
  <c r="F88" i="2"/>
  <c r="I86" i="2"/>
  <c r="F86" i="2"/>
  <c r="G86" i="2" s="1"/>
  <c r="I90" i="2"/>
  <c r="F90" i="2"/>
  <c r="P45" i="2"/>
  <c r="P46" i="2"/>
  <c r="P44" i="2"/>
  <c r="S44" i="2" s="1"/>
  <c r="P40" i="2"/>
  <c r="U47" i="2"/>
  <c r="P38" i="2"/>
  <c r="P47" i="2"/>
  <c r="P41" i="2"/>
  <c r="P42" i="2"/>
  <c r="U42" i="2"/>
  <c r="U45" i="2"/>
  <c r="P37" i="2"/>
  <c r="H10" i="2"/>
  <c r="H13" i="2"/>
  <c r="I14" i="2" s="1"/>
  <c r="C33" i="2"/>
  <c r="I17" i="2"/>
  <c r="I11" i="2"/>
  <c r="I10" i="2"/>
  <c r="I12" i="2"/>
  <c r="K20" i="2"/>
  <c r="M21" i="2" s="1"/>
  <c r="I16" i="2"/>
  <c r="I18" i="2"/>
  <c r="H8" i="2"/>
  <c r="I9" i="2" s="1"/>
  <c r="I15" i="2"/>
  <c r="H91" i="2" l="1"/>
  <c r="M91" i="2" s="1"/>
  <c r="H89" i="2"/>
  <c r="M89" i="2" s="1"/>
  <c r="R87" i="2"/>
  <c r="H86" i="2"/>
  <c r="M86" i="2" s="1"/>
  <c r="R86" i="2"/>
  <c r="H85" i="2"/>
  <c r="M85" i="2" s="1"/>
  <c r="J91" i="2"/>
  <c r="N91" i="2"/>
  <c r="J89" i="2"/>
  <c r="N89" i="2"/>
  <c r="J85" i="2"/>
  <c r="H84" i="2"/>
  <c r="M84" i="2" s="1"/>
  <c r="R85" i="2"/>
  <c r="J88" i="2"/>
  <c r="J83" i="2"/>
  <c r="J86" i="2"/>
  <c r="J92" i="2"/>
  <c r="J84" i="2"/>
  <c r="G92" i="2"/>
  <c r="R88" i="2"/>
  <c r="H87" i="2"/>
  <c r="M87" i="2" s="1"/>
  <c r="N87" i="2"/>
  <c r="J87" i="2"/>
  <c r="J90" i="2"/>
  <c r="G90" i="2"/>
  <c r="R90" i="2" s="1"/>
  <c r="G88" i="2"/>
  <c r="G83" i="2"/>
  <c r="J93" i="2"/>
  <c r="N93" i="2"/>
  <c r="O93" i="2" s="1"/>
  <c r="S47" i="2"/>
  <c r="S40" i="2"/>
  <c r="S45" i="2"/>
  <c r="U49" i="2"/>
  <c r="V50" i="2" s="1"/>
  <c r="S42" i="2"/>
  <c r="S43" i="2"/>
  <c r="S39" i="2"/>
  <c r="S41" i="2"/>
  <c r="S46" i="2"/>
  <c r="I13" i="2"/>
  <c r="I20" i="2"/>
  <c r="H21" i="2" s="1"/>
  <c r="O87" i="2" l="1"/>
  <c r="N85" i="2"/>
  <c r="O85" i="2" s="1"/>
  <c r="O89" i="2"/>
  <c r="H83" i="2"/>
  <c r="R84" i="2"/>
  <c r="H92" i="2"/>
  <c r="R93" i="2"/>
  <c r="R92" i="2"/>
  <c r="N86" i="2"/>
  <c r="O86" i="2" s="1"/>
  <c r="P87" i="2" s="1"/>
  <c r="R89" i="2"/>
  <c r="H88" i="2"/>
  <c r="N84" i="2"/>
  <c r="O84" i="2" s="1"/>
  <c r="O91" i="2"/>
  <c r="R91" i="2"/>
  <c r="H90" i="2"/>
  <c r="P86" i="2" l="1"/>
  <c r="P85" i="2"/>
  <c r="M90" i="2"/>
  <c r="N90" i="2"/>
  <c r="M92" i="2"/>
  <c r="N92" i="2"/>
  <c r="R95" i="2"/>
  <c r="S96" i="2" s="1"/>
  <c r="M88" i="2"/>
  <c r="N88" i="2"/>
  <c r="M83" i="2"/>
  <c r="N83" i="2"/>
  <c r="O88" i="2" l="1"/>
  <c r="P89" i="2" s="1"/>
  <c r="O92" i="2"/>
  <c r="O83" i="2"/>
  <c r="P84" i="2" s="1"/>
  <c r="O90" i="2"/>
  <c r="P88" i="2" l="1"/>
  <c r="P91" i="2"/>
  <c r="P90" i="2"/>
  <c r="P93" i="2"/>
  <c r="P92" i="2"/>
  <c r="P95" i="2" l="1"/>
  <c r="P96" i="2" s="1"/>
</calcChain>
</file>

<file path=xl/sharedStrings.xml><?xml version="1.0" encoding="utf-8"?>
<sst xmlns="http://schemas.openxmlformats.org/spreadsheetml/2006/main" count="131" uniqueCount="98">
  <si>
    <t>Ομάδα:</t>
  </si>
  <si>
    <t>H=</t>
  </si>
  <si>
    <t>m</t>
  </si>
  <si>
    <t>Qaverage=</t>
  </si>
  <si>
    <t>m3/s</t>
  </si>
  <si>
    <t>S=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</si>
  <si>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</si>
  <si>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</si>
  <si>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</si>
  <si>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</si>
  <si>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</si>
  <si>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</si>
  <si>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</si>
  <si>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</si>
  <si>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</si>
  <si>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</si>
  <si>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</si>
  <si>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</si>
  <si>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Vaverage</t>
  </si>
  <si>
    <t>Qaverage</t>
  </si>
  <si>
    <t>m^3/s</t>
  </si>
  <si>
    <t xml:space="preserve">εκατομμυρια m^3/s </t>
  </si>
  <si>
    <t>μεσο υδρολογικο ετος</t>
  </si>
  <si>
    <t>συχνοτητα εμφανισης</t>
  </si>
  <si>
    <t>Q(m^3/s)</t>
  </si>
  <si>
    <t>q</t>
  </si>
  <si>
    <t>96 τιμές</t>
  </si>
  <si>
    <t>12 τιμές</t>
  </si>
  <si>
    <t>Q0</t>
  </si>
  <si>
    <t>Q30</t>
  </si>
  <si>
    <t>Q50</t>
  </si>
  <si>
    <t>Q100</t>
  </si>
  <si>
    <t>ΠΑΡΟΧΗ ΣΥΝΤΗΡΗΣΗΣ</t>
  </si>
  <si>
    <t xml:space="preserve">m^3/s </t>
  </si>
  <si>
    <t>Αξιοποιήσιμη Παροχή</t>
  </si>
  <si>
    <t>ποσοστο χρονου(%)</t>
  </si>
  <si>
    <t>Qa αξιοποιησιμη παροχη</t>
  </si>
  <si>
    <t>h=</t>
  </si>
  <si>
    <t>Qστροβιλου</t>
  </si>
  <si>
    <t>ke</t>
  </si>
  <si>
    <t>H</t>
  </si>
  <si>
    <t>(Q,H)</t>
  </si>
  <si>
    <t>FRANCIS</t>
  </si>
  <si>
    <t>Qmax</t>
  </si>
  <si>
    <t>Qmin</t>
  </si>
  <si>
    <t>Παροχή Υδροστροβίλου</t>
  </si>
  <si>
    <t>η</t>
  </si>
  <si>
    <t>ΠΟΣΟΣΤΟ Q/Qstrobiloy</t>
  </si>
  <si>
    <t>N</t>
  </si>
  <si>
    <t>N(KW)</t>
  </si>
  <si>
    <t>ρ (kg/m^3)</t>
  </si>
  <si>
    <t>g</t>
  </si>
  <si>
    <t>E(MWh)</t>
  </si>
  <si>
    <t>MWh</t>
  </si>
  <si>
    <t>ενεργεια υδροστροβιλου</t>
  </si>
  <si>
    <t>ονομαστικη ισχυς</t>
  </si>
  <si>
    <t>MW</t>
  </si>
  <si>
    <t>CF</t>
  </si>
  <si>
    <t>ΠΑΡΟΧΗ ΠΟΥ ΔΙΑΚΙΝΕΙΤΑΙ</t>
  </si>
  <si>
    <t>ΟΓΚΟΣ ΝΕΡΟΥ ΣΕ ΕΚΑΤΟΜΜΥΡΙΑ m^3</t>
  </si>
  <si>
    <t>βαθμος αξιοποίησης</t>
  </si>
  <si>
    <t xml:space="preserve">με έναν υδροστροβιλο </t>
  </si>
  <si>
    <t>Q1</t>
  </si>
  <si>
    <t>Q2</t>
  </si>
  <si>
    <t>η1</t>
  </si>
  <si>
    <t>η2</t>
  </si>
  <si>
    <t>ΠΟΣΟΣΤΟ1</t>
  </si>
  <si>
    <t>ΠΟΣΟΣΤΟ2</t>
  </si>
  <si>
    <t>Ν1 (MW)</t>
  </si>
  <si>
    <t>Ν2 (MW)</t>
  </si>
  <si>
    <t>Nολικο</t>
  </si>
  <si>
    <t>Qολικο</t>
  </si>
  <si>
    <t>Q3</t>
  </si>
  <si>
    <t>ΠΟΣΟΣΤΟ3</t>
  </si>
  <si>
    <t>η3</t>
  </si>
  <si>
    <t>Ν3 (MW)</t>
  </si>
  <si>
    <t>με τρεις ομοιους υδροστροβιλους</t>
  </si>
  <si>
    <t>με δυο διαφορετικους υδροστροβιλους</t>
  </si>
  <si>
    <t>Francis</t>
  </si>
  <si>
    <t>Pelton</t>
  </si>
  <si>
    <t>Qmax_francis</t>
  </si>
  <si>
    <t>Qmin_francis</t>
  </si>
  <si>
    <t>Qmax_pelton</t>
  </si>
  <si>
    <t>Qmin_pelton</t>
  </si>
  <si>
    <t>Qfrancis</t>
  </si>
  <si>
    <t>Qpelton</t>
  </si>
  <si>
    <t>Η</t>
  </si>
  <si>
    <t>η_francis</t>
  </si>
  <si>
    <t>η_pelton</t>
  </si>
  <si>
    <t>pososto_francis</t>
  </si>
  <si>
    <t>pososto_pelton</t>
  </si>
  <si>
    <t>Nfrancis</t>
  </si>
  <si>
    <t>Nfrancis(MW)</t>
  </si>
  <si>
    <t>Npelton(MW)</t>
  </si>
  <si>
    <t>N_oliko(MW)</t>
  </si>
  <si>
    <t>E (MWh)</t>
  </si>
  <si>
    <t>Παροχη που διακινειται</t>
  </si>
  <si>
    <t>Npelton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</si>
</sst>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76" formatCode="_-* #,##0.000\ _€_-;\-* #,##0.000\ _€_-;_-* &quot;-&quot;??\ _€_-;_-@_-"/>
    <numFmt numFmtId="177" formatCode="0.0%"/>
  </numFmts>
  <fonts count="2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0" fontId="0" fillId="0" borderId="0" xfId="0"/>
    <xf numFmtId="43" fontId="0" fillId="2" borderId="0" xfId="1" applyFont="1" applyFill="1"/>
    <xf numFmtId="43" fontId="0" fillId="3" borderId="0" xfId="1" applyFont="1" applyFill="1"/>
    <xf numFmtId="9" fontId="0" fillId="0" borderId="0" xfId="2" applyFont="1"/>
    <xf numFmtId="10" fontId="0" fillId="0" borderId="0" xfId="0" applyNumberFormat="1"/>
    <xf numFmtId="43" fontId="0" fillId="0" borderId="0" xfId="1" applyFont="1" applyAlignment="1">
      <alignment horizontal="left"/>
    </xf>
    <xf numFmtId="0" fontId="0" fillId="0" borderId="0" xfId="0" applyNumberFormat="1"/>
    <xf numFmtId="2" fontId="0" fillId="0" borderId="0" xfId="0" applyNumberFormat="1"/>
    <xf numFmtId="43" fontId="0" fillId="0" borderId="0" xfId="1" applyNumberFormat="1" applyFont="1"/>
    <xf numFmtId="176" fontId="0" fillId="0" borderId="0" xfId="1" applyNumberFormat="1" applyFont="1"/>
    <xf numFmtId="177" fontId="0" fillId="0" borderId="0" xfId="2" applyNumberFormat="1" applyFont="1"/>
    <xf numFmtId="177" fontId="0" fillId="0" borderId="0" xfId="0" applyNumberFormat="1"/>
    <xf numFmtId="43" fontId="0" fillId="0" borderId="0" xfId="0" applyNumberFormat="1"/>
    <xf numFmtId="43" fontId="0" fillId="4" borderId="1" xfId="1" applyFont="1" applyFill="1" applyBorder="1"/>
    <xf numFmtId="43" fontId="0" fillId="4" borderId="2" xfId="1" applyFont="1" applyFill="1" applyBorder="1"/>
    <xf numFmtId="43" fontId="0" fillId="4" borderId="3" xfId="1" applyFont="1" applyFill="1" applyBorder="1"/>
    <xf numFmtId="0" fontId="0" fillId="0" borderId="0" xfId="0" applyAlignment="1">
      <alignment horizontal="right"/>
    </xf>
    <xf numFmtId="0" fontId="0" fillId="0" borderId="0" xfId="1" applyNumberFormat="1" applyFont="1"/>
    <xf numFmtId="9" fontId="0" fillId="0" borderId="0" xfId="0" applyNumberFormat="1"/>
  </cellXfs>
  <cellStyles count="3">
    <cellStyle name="Κανονικό" xfId="0" builtinId="0"/>
    <cellStyle name="Κόμμα" xfId="1" builtinId="3"/>
    <cellStyle name="Ποσοστό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Καμπύλη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Διάρκειας Παροχής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'1ο ερωτημα'!$G$24</c:f>
              <c:strCache>
                <c:ptCount val="1"/>
                <c:pt idx="0">
                  <c:v>96 τιμές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ερωτημα'!$G$25:$G$120</c:f>
              <c:numCache>
                <c:formatCode>0%</c:formatCode>
                <c:ptCount val="96"/>
                <c:pt idx="0">
                  <c:v>1.0416666666666666E-2</c:v>
                </c:pt>
                <c:pt idx="1">
                  <c:v>2.0833333333333332E-2</c:v>
                </c:pt>
                <c:pt idx="2">
                  <c:v>3.125E-2</c:v>
                </c:pt>
                <c:pt idx="3">
                  <c:v>4.1666666666666664E-2</c:v>
                </c:pt>
                <c:pt idx="4">
                  <c:v>5.2083333333333329E-2</c:v>
                </c:pt>
                <c:pt idx="5">
                  <c:v>6.2499999999999993E-2</c:v>
                </c:pt>
                <c:pt idx="6">
                  <c:v>7.2916666666666657E-2</c:v>
                </c:pt>
                <c:pt idx="7">
                  <c:v>8.3333333333333329E-2</c:v>
                </c:pt>
                <c:pt idx="8">
                  <c:v>9.375E-2</c:v>
                </c:pt>
                <c:pt idx="9">
                  <c:v>0.10416666666666667</c:v>
                </c:pt>
                <c:pt idx="10">
                  <c:v>0.11458333333333334</c:v>
                </c:pt>
                <c:pt idx="11">
                  <c:v>0.125</c:v>
                </c:pt>
                <c:pt idx="12">
                  <c:v>0.13541666666666666</c:v>
                </c:pt>
                <c:pt idx="13">
                  <c:v>0.14583333333333331</c:v>
                </c:pt>
                <c:pt idx="14">
                  <c:v>0.15624999999999997</c:v>
                </c:pt>
                <c:pt idx="15">
                  <c:v>0.16666666666666663</c:v>
                </c:pt>
                <c:pt idx="16">
                  <c:v>0.17708333333333329</c:v>
                </c:pt>
                <c:pt idx="17">
                  <c:v>0.18749999999999994</c:v>
                </c:pt>
                <c:pt idx="18">
                  <c:v>0.1979166666666666</c:v>
                </c:pt>
                <c:pt idx="19">
                  <c:v>0.20833333333333326</c:v>
                </c:pt>
                <c:pt idx="20">
                  <c:v>0.21874999999999992</c:v>
                </c:pt>
                <c:pt idx="21">
                  <c:v>0.22916666666666657</c:v>
                </c:pt>
                <c:pt idx="22">
                  <c:v>0.23958333333333323</c:v>
                </c:pt>
                <c:pt idx="23">
                  <c:v>0.24999999999999989</c:v>
                </c:pt>
                <c:pt idx="24">
                  <c:v>0.26041666666666657</c:v>
                </c:pt>
                <c:pt idx="25">
                  <c:v>0.27083333333333326</c:v>
                </c:pt>
                <c:pt idx="26">
                  <c:v>0.28124999999999994</c:v>
                </c:pt>
                <c:pt idx="27">
                  <c:v>0.29166666666666663</c:v>
                </c:pt>
                <c:pt idx="28">
                  <c:v>0.30208333333333331</c:v>
                </c:pt>
                <c:pt idx="29">
                  <c:v>0.3125</c:v>
                </c:pt>
                <c:pt idx="30">
                  <c:v>0.32291666666666669</c:v>
                </c:pt>
                <c:pt idx="31">
                  <c:v>0.33333333333333337</c:v>
                </c:pt>
                <c:pt idx="32">
                  <c:v>0.34375000000000006</c:v>
                </c:pt>
                <c:pt idx="33">
                  <c:v>0.35416666666666674</c:v>
                </c:pt>
                <c:pt idx="34">
                  <c:v>0.36458333333333343</c:v>
                </c:pt>
                <c:pt idx="35">
                  <c:v>0.37500000000000011</c:v>
                </c:pt>
                <c:pt idx="36">
                  <c:v>0.3854166666666668</c:v>
                </c:pt>
                <c:pt idx="37">
                  <c:v>0.39583333333333348</c:v>
                </c:pt>
                <c:pt idx="38">
                  <c:v>0.40625000000000017</c:v>
                </c:pt>
                <c:pt idx="39">
                  <c:v>0.41666666666666685</c:v>
                </c:pt>
                <c:pt idx="40">
                  <c:v>0.42708333333333354</c:v>
                </c:pt>
                <c:pt idx="41">
                  <c:v>0.43750000000000022</c:v>
                </c:pt>
                <c:pt idx="42">
                  <c:v>0.44791666666666691</c:v>
                </c:pt>
                <c:pt idx="43">
                  <c:v>0.45833333333333359</c:v>
                </c:pt>
                <c:pt idx="44">
                  <c:v>0.46875000000000028</c:v>
                </c:pt>
                <c:pt idx="45">
                  <c:v>0.47916666666666696</c:v>
                </c:pt>
                <c:pt idx="46">
                  <c:v>0.48958333333333365</c:v>
                </c:pt>
                <c:pt idx="47">
                  <c:v>0.50000000000000033</c:v>
                </c:pt>
                <c:pt idx="48">
                  <c:v>0.51041666666666696</c:v>
                </c:pt>
                <c:pt idx="49">
                  <c:v>0.52083333333333359</c:v>
                </c:pt>
                <c:pt idx="50">
                  <c:v>0.53125000000000022</c:v>
                </c:pt>
                <c:pt idx="51">
                  <c:v>0.54166666666666685</c:v>
                </c:pt>
                <c:pt idx="52">
                  <c:v>0.55208333333333348</c:v>
                </c:pt>
                <c:pt idx="53">
                  <c:v>0.56250000000000011</c:v>
                </c:pt>
                <c:pt idx="54">
                  <c:v>0.57291666666666674</c:v>
                </c:pt>
                <c:pt idx="55">
                  <c:v>0.58333333333333337</c:v>
                </c:pt>
                <c:pt idx="56">
                  <c:v>0.59375</c:v>
                </c:pt>
                <c:pt idx="57">
                  <c:v>0.60416666666666663</c:v>
                </c:pt>
                <c:pt idx="58">
                  <c:v>0.61458333333333326</c:v>
                </c:pt>
                <c:pt idx="59">
                  <c:v>0.62499999999999989</c:v>
                </c:pt>
                <c:pt idx="60">
                  <c:v>0.63541666666666652</c:v>
                </c:pt>
                <c:pt idx="61">
                  <c:v>0.64583333333333315</c:v>
                </c:pt>
                <c:pt idx="62">
                  <c:v>0.65624999999999978</c:v>
                </c:pt>
                <c:pt idx="63">
                  <c:v>0.66666666666666641</c:v>
                </c:pt>
                <c:pt idx="64">
                  <c:v>0.67708333333333304</c:v>
                </c:pt>
                <c:pt idx="65">
                  <c:v>0.68749999999999967</c:v>
                </c:pt>
                <c:pt idx="66">
                  <c:v>0.6979166666666663</c:v>
                </c:pt>
                <c:pt idx="67">
                  <c:v>0.70833333333333293</c:v>
                </c:pt>
                <c:pt idx="68">
                  <c:v>0.71874999999999956</c:v>
                </c:pt>
                <c:pt idx="69">
                  <c:v>0.72916666666666619</c:v>
                </c:pt>
                <c:pt idx="70">
                  <c:v>0.73958333333333282</c:v>
                </c:pt>
                <c:pt idx="71">
                  <c:v>0.74999999999999944</c:v>
                </c:pt>
                <c:pt idx="72">
                  <c:v>0.76041666666666607</c:v>
                </c:pt>
                <c:pt idx="73">
                  <c:v>0.7708333333333327</c:v>
                </c:pt>
                <c:pt idx="74">
                  <c:v>0.78124999999999933</c:v>
                </c:pt>
                <c:pt idx="75">
                  <c:v>0.79166666666666596</c:v>
                </c:pt>
                <c:pt idx="76">
                  <c:v>0.80208333333333259</c:v>
                </c:pt>
                <c:pt idx="77">
                  <c:v>0.81249999999999922</c:v>
                </c:pt>
                <c:pt idx="78">
                  <c:v>0.82291666666666585</c:v>
                </c:pt>
                <c:pt idx="79">
                  <c:v>0.83333333333333248</c:v>
                </c:pt>
                <c:pt idx="80">
                  <c:v>0.84374999999999911</c:v>
                </c:pt>
                <c:pt idx="81">
                  <c:v>0.85416666666666574</c:v>
                </c:pt>
                <c:pt idx="82">
                  <c:v>0.86458333333333237</c:v>
                </c:pt>
                <c:pt idx="83">
                  <c:v>0.874999999999999</c:v>
                </c:pt>
                <c:pt idx="84">
                  <c:v>0.88541666666666563</c:v>
                </c:pt>
                <c:pt idx="85">
                  <c:v>0.89583333333333226</c:v>
                </c:pt>
                <c:pt idx="86">
                  <c:v>0.90624999999999889</c:v>
                </c:pt>
                <c:pt idx="87">
                  <c:v>0.91666666666666552</c:v>
                </c:pt>
                <c:pt idx="88">
                  <c:v>0.92708333333333215</c:v>
                </c:pt>
                <c:pt idx="89">
                  <c:v>0.93749999999999878</c:v>
                </c:pt>
                <c:pt idx="90">
                  <c:v>0.94791666666666541</c:v>
                </c:pt>
                <c:pt idx="91">
                  <c:v>0.95833333333333204</c:v>
                </c:pt>
                <c:pt idx="92">
                  <c:v>0.96874999999999867</c:v>
                </c:pt>
                <c:pt idx="93">
                  <c:v>0.9791666666666653</c:v>
                </c:pt>
                <c:pt idx="94">
                  <c:v>0.98958333333333193</c:v>
                </c:pt>
                <c:pt idx="95">
                  <c:v>0.99999999999999856</c:v>
                </c:pt>
              </c:numCache>
            </c:numRef>
          </c:xVal>
          <c:yVal>
            <c:numRef>
              <c:f>'1ο ερωτημα'!$E$25:$E$120</c:f>
              <c:numCache>
                <c:formatCode>General</c:formatCode>
                <c:ptCount val="96"/>
                <c:pt idx="0">
                  <c:v>12.3</c:v>
                </c:pt>
                <c:pt idx="1">
                  <c:v>9.6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6.7</c:v>
                </c:pt>
                <c:pt idx="6">
                  <c:v>6.5</c:v>
                </c:pt>
                <c:pt idx="7">
                  <c:v>6.3</c:v>
                </c:pt>
                <c:pt idx="8">
                  <c:v>6.3</c:v>
                </c:pt>
                <c:pt idx="9">
                  <c:v>6.1</c:v>
                </c:pt>
                <c:pt idx="10">
                  <c:v>5.9</c:v>
                </c:pt>
                <c:pt idx="11">
                  <c:v>5.8</c:v>
                </c:pt>
                <c:pt idx="12">
                  <c:v>5.2</c:v>
                </c:pt>
                <c:pt idx="13">
                  <c:v>5.2</c:v>
                </c:pt>
                <c:pt idx="14">
                  <c:v>4.5999999999999996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4.2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3.9</c:v>
                </c:pt>
                <c:pt idx="28">
                  <c:v>3.7</c:v>
                </c:pt>
                <c:pt idx="29">
                  <c:v>3.7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3.4</c:v>
                </c:pt>
                <c:pt idx="37">
                  <c:v>3.4</c:v>
                </c:pt>
                <c:pt idx="38">
                  <c:v>3.3</c:v>
                </c:pt>
                <c:pt idx="39">
                  <c:v>3.3</c:v>
                </c:pt>
                <c:pt idx="40">
                  <c:v>3.3</c:v>
                </c:pt>
                <c:pt idx="41">
                  <c:v>3.1</c:v>
                </c:pt>
                <c:pt idx="42">
                  <c:v>3.1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2.8</c:v>
                </c:pt>
                <c:pt idx="47">
                  <c:v>2.7</c:v>
                </c:pt>
                <c:pt idx="48">
                  <c:v>2.7</c:v>
                </c:pt>
                <c:pt idx="49">
                  <c:v>2.7</c:v>
                </c:pt>
                <c:pt idx="50">
                  <c:v>2.7</c:v>
                </c:pt>
                <c:pt idx="51">
                  <c:v>2.7</c:v>
                </c:pt>
                <c:pt idx="52">
                  <c:v>2.7</c:v>
                </c:pt>
                <c:pt idx="53">
                  <c:v>2.6</c:v>
                </c:pt>
                <c:pt idx="54">
                  <c:v>2.5</c:v>
                </c:pt>
                <c:pt idx="55">
                  <c:v>2.5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1.8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1.4</c:v>
                </c:pt>
                <c:pt idx="90">
                  <c:v>1.4</c:v>
                </c:pt>
                <c:pt idx="91">
                  <c:v>1.3</c:v>
                </c:pt>
                <c:pt idx="92">
                  <c:v>1.3</c:v>
                </c:pt>
                <c:pt idx="93">
                  <c:v>1.2</c:v>
                </c:pt>
                <c:pt idx="94">
                  <c:v>0.9</c:v>
                </c:pt>
                <c:pt idx="95">
                  <c:v>0.7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'1ο ερωτημα'!$M$24</c:f>
              <c:strCache>
                <c:ptCount val="1"/>
                <c:pt idx="0">
                  <c:v>12 τιμές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ερωτημα'!$M$25:$M$36</c:f>
              <c:numCache>
                <c:formatCode>0.0%</c:formatCode>
                <c:ptCount val="12"/>
                <c:pt idx="0">
                  <c:v>8.3333333333333301E-2</c:v>
                </c:pt>
                <c:pt idx="1">
                  <c:v>0.1666666666666666</c:v>
                </c:pt>
                <c:pt idx="2">
                  <c:v>0.24999999999999989</c:v>
                </c:pt>
                <c:pt idx="3">
                  <c:v>0.3333333333333332</c:v>
                </c:pt>
                <c:pt idx="4">
                  <c:v>0.41666666666666652</c:v>
                </c:pt>
                <c:pt idx="5">
                  <c:v>0.49999999999999983</c:v>
                </c:pt>
                <c:pt idx="6">
                  <c:v>0.58333333333333315</c:v>
                </c:pt>
                <c:pt idx="7">
                  <c:v>0.66666666666666641</c:v>
                </c:pt>
                <c:pt idx="8">
                  <c:v>0.74999999999999967</c:v>
                </c:pt>
                <c:pt idx="9">
                  <c:v>0.83333333333333293</c:v>
                </c:pt>
                <c:pt idx="10">
                  <c:v>0.91666666666666619</c:v>
                </c:pt>
                <c:pt idx="11">
                  <c:v>0.99999999999999944</c:v>
                </c:pt>
              </c:numCache>
            </c:numRef>
          </c:xVal>
          <c:yVal>
            <c:numRef>
              <c:f>'1ο ερωτημα'!$K$25:$K$36</c:f>
              <c:numCache>
                <c:formatCode>_(* #,##0.00_);_(* \(#,##0.00\);_(* "-"??_);_(@_)</c:formatCode>
                <c:ptCount val="12"/>
                <c:pt idx="0">
                  <c:v>6.55</c:v>
                </c:pt>
                <c:pt idx="1">
                  <c:v>6.0374999999999996</c:v>
                </c:pt>
                <c:pt idx="2">
                  <c:v>4.0874999999999995</c:v>
                </c:pt>
                <c:pt idx="3">
                  <c:v>4.0749999999999993</c:v>
                </c:pt>
                <c:pt idx="4">
                  <c:v>3.4125000000000001</c:v>
                </c:pt>
                <c:pt idx="5">
                  <c:v>3.0874999999999999</c:v>
                </c:pt>
                <c:pt idx="6">
                  <c:v>2.4250000000000003</c:v>
                </c:pt>
                <c:pt idx="7">
                  <c:v>2.4</c:v>
                </c:pt>
                <c:pt idx="8">
                  <c:v>2.375</c:v>
                </c:pt>
                <c:pt idx="9">
                  <c:v>2.1375000000000002</c:v>
                </c:pt>
                <c:pt idx="10">
                  <c:v>1.9875000000000003</c:v>
                </c:pt>
                <c:pt idx="11">
                  <c:v>1.5875000000000001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267664"/>
        <c:axId val="1768170800"/>
      </c:scatterChart>
      <c:valAx>
        <c:axId val="114226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l-GR" sz="1100" b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Χρόνου</a:t>
                </a:r>
                <a:endParaRPr lang="el-GR" sz="11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70800"/>
        <c:crosses val="autoZero"/>
        <c:crossBetween val="midCat"/>
      </c:valAx>
      <c:valAx>
        <c:axId val="176817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(m^3/s)</a:t>
                </a:r>
                <a:endParaRPr lang="el-GR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142267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Καμπύλη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Διάρκειας Παροχής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'1ο ερωτημα'!$G$24</c:f>
              <c:strCache>
                <c:ptCount val="1"/>
                <c:pt idx="0">
                  <c:v>96 τιμές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ερωτημα'!$G$25:$G$120</c:f>
              <c:numCache>
                <c:formatCode>0%</c:formatCode>
                <c:ptCount val="96"/>
                <c:pt idx="0">
                  <c:v>1.0416666666666666E-2</c:v>
                </c:pt>
                <c:pt idx="1">
                  <c:v>2.0833333333333332E-2</c:v>
                </c:pt>
                <c:pt idx="2">
                  <c:v>3.125E-2</c:v>
                </c:pt>
                <c:pt idx="3">
                  <c:v>4.1666666666666664E-2</c:v>
                </c:pt>
                <c:pt idx="4">
                  <c:v>5.2083333333333329E-2</c:v>
                </c:pt>
                <c:pt idx="5">
                  <c:v>6.2499999999999993E-2</c:v>
                </c:pt>
                <c:pt idx="6">
                  <c:v>7.2916666666666657E-2</c:v>
                </c:pt>
                <c:pt idx="7">
                  <c:v>8.3333333333333329E-2</c:v>
                </c:pt>
                <c:pt idx="8">
                  <c:v>9.375E-2</c:v>
                </c:pt>
                <c:pt idx="9">
                  <c:v>0.10416666666666667</c:v>
                </c:pt>
                <c:pt idx="10">
                  <c:v>0.11458333333333334</c:v>
                </c:pt>
                <c:pt idx="11">
                  <c:v>0.125</c:v>
                </c:pt>
                <c:pt idx="12">
                  <c:v>0.13541666666666666</c:v>
                </c:pt>
                <c:pt idx="13">
                  <c:v>0.14583333333333331</c:v>
                </c:pt>
                <c:pt idx="14">
                  <c:v>0.15624999999999997</c:v>
                </c:pt>
                <c:pt idx="15">
                  <c:v>0.16666666666666663</c:v>
                </c:pt>
                <c:pt idx="16">
                  <c:v>0.17708333333333329</c:v>
                </c:pt>
                <c:pt idx="17">
                  <c:v>0.18749999999999994</c:v>
                </c:pt>
                <c:pt idx="18">
                  <c:v>0.1979166666666666</c:v>
                </c:pt>
                <c:pt idx="19">
                  <c:v>0.20833333333333326</c:v>
                </c:pt>
                <c:pt idx="20">
                  <c:v>0.21874999999999992</c:v>
                </c:pt>
                <c:pt idx="21">
                  <c:v>0.22916666666666657</c:v>
                </c:pt>
                <c:pt idx="22">
                  <c:v>0.23958333333333323</c:v>
                </c:pt>
                <c:pt idx="23">
                  <c:v>0.24999999999999989</c:v>
                </c:pt>
                <c:pt idx="24">
                  <c:v>0.26041666666666657</c:v>
                </c:pt>
                <c:pt idx="25">
                  <c:v>0.27083333333333326</c:v>
                </c:pt>
                <c:pt idx="26">
                  <c:v>0.28124999999999994</c:v>
                </c:pt>
                <c:pt idx="27">
                  <c:v>0.29166666666666663</c:v>
                </c:pt>
                <c:pt idx="28">
                  <c:v>0.30208333333333331</c:v>
                </c:pt>
                <c:pt idx="29">
                  <c:v>0.3125</c:v>
                </c:pt>
                <c:pt idx="30">
                  <c:v>0.32291666666666669</c:v>
                </c:pt>
                <c:pt idx="31">
                  <c:v>0.33333333333333337</c:v>
                </c:pt>
                <c:pt idx="32">
                  <c:v>0.34375000000000006</c:v>
                </c:pt>
                <c:pt idx="33">
                  <c:v>0.35416666666666674</c:v>
                </c:pt>
                <c:pt idx="34">
                  <c:v>0.36458333333333343</c:v>
                </c:pt>
                <c:pt idx="35">
                  <c:v>0.37500000000000011</c:v>
                </c:pt>
                <c:pt idx="36">
                  <c:v>0.3854166666666668</c:v>
                </c:pt>
                <c:pt idx="37">
                  <c:v>0.39583333333333348</c:v>
                </c:pt>
                <c:pt idx="38">
                  <c:v>0.40625000000000017</c:v>
                </c:pt>
                <c:pt idx="39">
                  <c:v>0.41666666666666685</c:v>
                </c:pt>
                <c:pt idx="40">
                  <c:v>0.42708333333333354</c:v>
                </c:pt>
                <c:pt idx="41">
                  <c:v>0.43750000000000022</c:v>
                </c:pt>
                <c:pt idx="42">
                  <c:v>0.44791666666666691</c:v>
                </c:pt>
                <c:pt idx="43">
                  <c:v>0.45833333333333359</c:v>
                </c:pt>
                <c:pt idx="44">
                  <c:v>0.46875000000000028</c:v>
                </c:pt>
                <c:pt idx="45">
                  <c:v>0.47916666666666696</c:v>
                </c:pt>
                <c:pt idx="46">
                  <c:v>0.48958333333333365</c:v>
                </c:pt>
                <c:pt idx="47">
                  <c:v>0.50000000000000033</c:v>
                </c:pt>
                <c:pt idx="48">
                  <c:v>0.51041666666666696</c:v>
                </c:pt>
                <c:pt idx="49">
                  <c:v>0.52083333333333359</c:v>
                </c:pt>
                <c:pt idx="50">
                  <c:v>0.53125000000000022</c:v>
                </c:pt>
                <c:pt idx="51">
                  <c:v>0.54166666666666685</c:v>
                </c:pt>
                <c:pt idx="52">
                  <c:v>0.55208333333333348</c:v>
                </c:pt>
                <c:pt idx="53">
                  <c:v>0.56250000000000011</c:v>
                </c:pt>
                <c:pt idx="54">
                  <c:v>0.57291666666666674</c:v>
                </c:pt>
                <c:pt idx="55">
                  <c:v>0.58333333333333337</c:v>
                </c:pt>
                <c:pt idx="56">
                  <c:v>0.59375</c:v>
                </c:pt>
                <c:pt idx="57">
                  <c:v>0.60416666666666663</c:v>
                </c:pt>
                <c:pt idx="58">
                  <c:v>0.61458333333333326</c:v>
                </c:pt>
                <c:pt idx="59">
                  <c:v>0.62499999999999989</c:v>
                </c:pt>
                <c:pt idx="60">
                  <c:v>0.63541666666666652</c:v>
                </c:pt>
                <c:pt idx="61">
                  <c:v>0.64583333333333315</c:v>
                </c:pt>
                <c:pt idx="62">
                  <c:v>0.65624999999999978</c:v>
                </c:pt>
                <c:pt idx="63">
                  <c:v>0.66666666666666641</c:v>
                </c:pt>
                <c:pt idx="64">
                  <c:v>0.67708333333333304</c:v>
                </c:pt>
                <c:pt idx="65">
                  <c:v>0.68749999999999967</c:v>
                </c:pt>
                <c:pt idx="66">
                  <c:v>0.6979166666666663</c:v>
                </c:pt>
                <c:pt idx="67">
                  <c:v>0.70833333333333293</c:v>
                </c:pt>
                <c:pt idx="68">
                  <c:v>0.71874999999999956</c:v>
                </c:pt>
                <c:pt idx="69">
                  <c:v>0.72916666666666619</c:v>
                </c:pt>
                <c:pt idx="70">
                  <c:v>0.73958333333333282</c:v>
                </c:pt>
                <c:pt idx="71">
                  <c:v>0.74999999999999944</c:v>
                </c:pt>
                <c:pt idx="72">
                  <c:v>0.76041666666666607</c:v>
                </c:pt>
                <c:pt idx="73">
                  <c:v>0.7708333333333327</c:v>
                </c:pt>
                <c:pt idx="74">
                  <c:v>0.78124999999999933</c:v>
                </c:pt>
                <c:pt idx="75">
                  <c:v>0.79166666666666596</c:v>
                </c:pt>
                <c:pt idx="76">
                  <c:v>0.80208333333333259</c:v>
                </c:pt>
                <c:pt idx="77">
                  <c:v>0.81249999999999922</c:v>
                </c:pt>
                <c:pt idx="78">
                  <c:v>0.82291666666666585</c:v>
                </c:pt>
                <c:pt idx="79">
                  <c:v>0.83333333333333248</c:v>
                </c:pt>
                <c:pt idx="80">
                  <c:v>0.84374999999999911</c:v>
                </c:pt>
                <c:pt idx="81">
                  <c:v>0.85416666666666574</c:v>
                </c:pt>
                <c:pt idx="82">
                  <c:v>0.86458333333333237</c:v>
                </c:pt>
                <c:pt idx="83">
                  <c:v>0.874999999999999</c:v>
                </c:pt>
                <c:pt idx="84">
                  <c:v>0.88541666666666563</c:v>
                </c:pt>
                <c:pt idx="85">
                  <c:v>0.89583333333333226</c:v>
                </c:pt>
                <c:pt idx="86">
                  <c:v>0.90624999999999889</c:v>
                </c:pt>
                <c:pt idx="87">
                  <c:v>0.91666666666666552</c:v>
                </c:pt>
                <c:pt idx="88">
                  <c:v>0.92708333333333215</c:v>
                </c:pt>
                <c:pt idx="89">
                  <c:v>0.93749999999999878</c:v>
                </c:pt>
                <c:pt idx="90">
                  <c:v>0.94791666666666541</c:v>
                </c:pt>
                <c:pt idx="91">
                  <c:v>0.95833333333333204</c:v>
                </c:pt>
                <c:pt idx="92">
                  <c:v>0.96874999999999867</c:v>
                </c:pt>
                <c:pt idx="93">
                  <c:v>0.9791666666666653</c:v>
                </c:pt>
                <c:pt idx="94">
                  <c:v>0.98958333333333193</c:v>
                </c:pt>
                <c:pt idx="95">
                  <c:v>0.99999999999999856</c:v>
                </c:pt>
              </c:numCache>
            </c:numRef>
          </c:xVal>
          <c:yVal>
            <c:numRef>
              <c:f>'1ο ερωτημα'!$E$25:$E$120</c:f>
              <c:numCache>
                <c:formatCode>General</c:formatCode>
                <c:ptCount val="96"/>
                <c:pt idx="0">
                  <c:v>12.3</c:v>
                </c:pt>
                <c:pt idx="1">
                  <c:v>9.6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6.7</c:v>
                </c:pt>
                <c:pt idx="6">
                  <c:v>6.5</c:v>
                </c:pt>
                <c:pt idx="7">
                  <c:v>6.3</c:v>
                </c:pt>
                <c:pt idx="8">
                  <c:v>6.3</c:v>
                </c:pt>
                <c:pt idx="9">
                  <c:v>6.1</c:v>
                </c:pt>
                <c:pt idx="10">
                  <c:v>5.9</c:v>
                </c:pt>
                <c:pt idx="11">
                  <c:v>5.8</c:v>
                </c:pt>
                <c:pt idx="12">
                  <c:v>5.2</c:v>
                </c:pt>
                <c:pt idx="13">
                  <c:v>5.2</c:v>
                </c:pt>
                <c:pt idx="14">
                  <c:v>4.5999999999999996</c:v>
                </c:pt>
                <c:pt idx="15">
                  <c:v>4.5</c:v>
                </c:pt>
                <c:pt idx="16">
                  <c:v>4.5</c:v>
                </c:pt>
                <c:pt idx="17">
                  <c:v>4.5</c:v>
                </c:pt>
                <c:pt idx="18">
                  <c:v>4.4000000000000004</c:v>
                </c:pt>
                <c:pt idx="19">
                  <c:v>4.4000000000000004</c:v>
                </c:pt>
                <c:pt idx="20">
                  <c:v>4.3</c:v>
                </c:pt>
                <c:pt idx="21">
                  <c:v>4.3</c:v>
                </c:pt>
                <c:pt idx="22">
                  <c:v>4.3</c:v>
                </c:pt>
                <c:pt idx="23">
                  <c:v>4.2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3.9</c:v>
                </c:pt>
                <c:pt idx="28">
                  <c:v>3.7</c:v>
                </c:pt>
                <c:pt idx="29">
                  <c:v>3.7</c:v>
                </c:pt>
                <c:pt idx="30">
                  <c:v>3.6</c:v>
                </c:pt>
                <c:pt idx="31">
                  <c:v>3.6</c:v>
                </c:pt>
                <c:pt idx="32">
                  <c:v>3.6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3.4</c:v>
                </c:pt>
                <c:pt idx="37">
                  <c:v>3.4</c:v>
                </c:pt>
                <c:pt idx="38">
                  <c:v>3.3</c:v>
                </c:pt>
                <c:pt idx="39">
                  <c:v>3.3</c:v>
                </c:pt>
                <c:pt idx="40">
                  <c:v>3.3</c:v>
                </c:pt>
                <c:pt idx="41">
                  <c:v>3.1</c:v>
                </c:pt>
                <c:pt idx="42">
                  <c:v>3.1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2.8</c:v>
                </c:pt>
                <c:pt idx="47">
                  <c:v>2.7</c:v>
                </c:pt>
                <c:pt idx="48">
                  <c:v>2.7</c:v>
                </c:pt>
                <c:pt idx="49">
                  <c:v>2.7</c:v>
                </c:pt>
                <c:pt idx="50">
                  <c:v>2.7</c:v>
                </c:pt>
                <c:pt idx="51">
                  <c:v>2.7</c:v>
                </c:pt>
                <c:pt idx="52">
                  <c:v>2.7</c:v>
                </c:pt>
                <c:pt idx="53">
                  <c:v>2.6</c:v>
                </c:pt>
                <c:pt idx="54">
                  <c:v>2.5</c:v>
                </c:pt>
                <c:pt idx="55">
                  <c:v>2.5</c:v>
                </c:pt>
                <c:pt idx="56">
                  <c:v>2.4</c:v>
                </c:pt>
                <c:pt idx="57">
                  <c:v>2.4</c:v>
                </c:pt>
                <c:pt idx="58">
                  <c:v>2.4</c:v>
                </c:pt>
                <c:pt idx="59">
                  <c:v>2.4</c:v>
                </c:pt>
                <c:pt idx="60">
                  <c:v>2.2999999999999998</c:v>
                </c:pt>
                <c:pt idx="61">
                  <c:v>2.2999999999999998</c:v>
                </c:pt>
                <c:pt idx="62">
                  <c:v>2.2999999999999998</c:v>
                </c:pt>
                <c:pt idx="63">
                  <c:v>2.2000000000000002</c:v>
                </c:pt>
                <c:pt idx="64">
                  <c:v>2.2000000000000002</c:v>
                </c:pt>
                <c:pt idx="65">
                  <c:v>2.2000000000000002</c:v>
                </c:pt>
                <c:pt idx="66">
                  <c:v>2.2000000000000002</c:v>
                </c:pt>
                <c:pt idx="67">
                  <c:v>2.2000000000000002</c:v>
                </c:pt>
                <c:pt idx="68">
                  <c:v>2.2000000000000002</c:v>
                </c:pt>
                <c:pt idx="69">
                  <c:v>2.2000000000000002</c:v>
                </c:pt>
                <c:pt idx="70">
                  <c:v>2.1</c:v>
                </c:pt>
                <c:pt idx="71">
                  <c:v>2.1</c:v>
                </c:pt>
                <c:pt idx="72">
                  <c:v>2.1</c:v>
                </c:pt>
                <c:pt idx="73">
                  <c:v>2.1</c:v>
                </c:pt>
                <c:pt idx="74">
                  <c:v>2.1</c:v>
                </c:pt>
                <c:pt idx="75">
                  <c:v>2.1</c:v>
                </c:pt>
                <c:pt idx="76">
                  <c:v>2.1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1.8</c:v>
                </c:pt>
                <c:pt idx="86">
                  <c:v>1.7</c:v>
                </c:pt>
                <c:pt idx="87">
                  <c:v>1.7</c:v>
                </c:pt>
                <c:pt idx="88">
                  <c:v>1.7</c:v>
                </c:pt>
                <c:pt idx="89">
                  <c:v>1.4</c:v>
                </c:pt>
                <c:pt idx="90">
                  <c:v>1.4</c:v>
                </c:pt>
                <c:pt idx="91">
                  <c:v>1.3</c:v>
                </c:pt>
                <c:pt idx="92">
                  <c:v>1.3</c:v>
                </c:pt>
                <c:pt idx="93">
                  <c:v>1.2</c:v>
                </c:pt>
                <c:pt idx="94">
                  <c:v>0.9</c:v>
                </c:pt>
                <c:pt idx="95">
                  <c:v>0.7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'1ο ερωτημα'!$M$24</c:f>
              <c:strCache>
                <c:ptCount val="1"/>
                <c:pt idx="0">
                  <c:v>12 τιμές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ερωτημα'!$M$25:$M$36</c:f>
              <c:numCache>
                <c:formatCode>0.0%</c:formatCode>
                <c:ptCount val="12"/>
                <c:pt idx="0">
                  <c:v>8.3333333333333301E-2</c:v>
                </c:pt>
                <c:pt idx="1">
                  <c:v>0.1666666666666666</c:v>
                </c:pt>
                <c:pt idx="2">
                  <c:v>0.24999999999999989</c:v>
                </c:pt>
                <c:pt idx="3">
                  <c:v>0.3333333333333332</c:v>
                </c:pt>
                <c:pt idx="4">
                  <c:v>0.41666666666666652</c:v>
                </c:pt>
                <c:pt idx="5">
                  <c:v>0.49999999999999983</c:v>
                </c:pt>
                <c:pt idx="6">
                  <c:v>0.58333333333333315</c:v>
                </c:pt>
                <c:pt idx="7">
                  <c:v>0.66666666666666641</c:v>
                </c:pt>
                <c:pt idx="8">
                  <c:v>0.74999999999999967</c:v>
                </c:pt>
                <c:pt idx="9">
                  <c:v>0.83333333333333293</c:v>
                </c:pt>
                <c:pt idx="10">
                  <c:v>0.91666666666666619</c:v>
                </c:pt>
                <c:pt idx="11">
                  <c:v>0.99999999999999944</c:v>
                </c:pt>
              </c:numCache>
            </c:numRef>
          </c:xVal>
          <c:yVal>
            <c:numRef>
              <c:f>'1ο ερωτημα'!$K$25:$K$36</c:f>
              <c:numCache>
                <c:formatCode>_(* #,##0.00_);_(* \(#,##0.00\);_(* "-"??_);_(@_)</c:formatCode>
                <c:ptCount val="12"/>
                <c:pt idx="0">
                  <c:v>6.55</c:v>
                </c:pt>
                <c:pt idx="1">
                  <c:v>6.0374999999999996</c:v>
                </c:pt>
                <c:pt idx="2">
                  <c:v>4.0874999999999995</c:v>
                </c:pt>
                <c:pt idx="3">
                  <c:v>4.0749999999999993</c:v>
                </c:pt>
                <c:pt idx="4">
                  <c:v>3.4125000000000001</c:v>
                </c:pt>
                <c:pt idx="5">
                  <c:v>3.0874999999999999</c:v>
                </c:pt>
                <c:pt idx="6">
                  <c:v>2.4250000000000003</c:v>
                </c:pt>
                <c:pt idx="7">
                  <c:v>2.4</c:v>
                </c:pt>
                <c:pt idx="8">
                  <c:v>2.375</c:v>
                </c:pt>
                <c:pt idx="9">
                  <c:v>2.1375000000000002</c:v>
                </c:pt>
                <c:pt idx="10">
                  <c:v>1.9875000000000003</c:v>
                </c:pt>
                <c:pt idx="11">
                  <c:v>1.5875000000000001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'1ο ερωτημα'!$H$24</c:f>
              <c:strCache>
                <c:ptCount val="1"/>
                <c:pt idx="0">
                  <c:v>Αξιοποιήσιμη Παροχή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ερωτημα'!$G$25:$G$120</c:f>
              <c:numCache>
                <c:formatCode>0%</c:formatCode>
                <c:ptCount val="96"/>
                <c:pt idx="0">
                  <c:v>1.0416666666666666E-2</c:v>
                </c:pt>
                <c:pt idx="1">
                  <c:v>2.0833333333333332E-2</c:v>
                </c:pt>
                <c:pt idx="2">
                  <c:v>3.125E-2</c:v>
                </c:pt>
                <c:pt idx="3">
                  <c:v>4.1666666666666664E-2</c:v>
                </c:pt>
                <c:pt idx="4">
                  <c:v>5.2083333333333329E-2</c:v>
                </c:pt>
                <c:pt idx="5">
                  <c:v>6.2499999999999993E-2</c:v>
                </c:pt>
                <c:pt idx="6">
                  <c:v>7.2916666666666657E-2</c:v>
                </c:pt>
                <c:pt idx="7">
                  <c:v>8.3333333333333329E-2</c:v>
                </c:pt>
                <c:pt idx="8">
                  <c:v>9.375E-2</c:v>
                </c:pt>
                <c:pt idx="9">
                  <c:v>0.10416666666666667</c:v>
                </c:pt>
                <c:pt idx="10">
                  <c:v>0.11458333333333334</c:v>
                </c:pt>
                <c:pt idx="11">
                  <c:v>0.125</c:v>
                </c:pt>
                <c:pt idx="12">
                  <c:v>0.13541666666666666</c:v>
                </c:pt>
                <c:pt idx="13">
                  <c:v>0.14583333333333331</c:v>
                </c:pt>
                <c:pt idx="14">
                  <c:v>0.15624999999999997</c:v>
                </c:pt>
                <c:pt idx="15">
                  <c:v>0.16666666666666663</c:v>
                </c:pt>
                <c:pt idx="16">
                  <c:v>0.17708333333333329</c:v>
                </c:pt>
                <c:pt idx="17">
                  <c:v>0.18749999999999994</c:v>
                </c:pt>
                <c:pt idx="18">
                  <c:v>0.1979166666666666</c:v>
                </c:pt>
                <c:pt idx="19">
                  <c:v>0.20833333333333326</c:v>
                </c:pt>
                <c:pt idx="20">
                  <c:v>0.21874999999999992</c:v>
                </c:pt>
                <c:pt idx="21">
                  <c:v>0.22916666666666657</c:v>
                </c:pt>
                <c:pt idx="22">
                  <c:v>0.23958333333333323</c:v>
                </c:pt>
                <c:pt idx="23">
                  <c:v>0.24999999999999989</c:v>
                </c:pt>
                <c:pt idx="24">
                  <c:v>0.26041666666666657</c:v>
                </c:pt>
                <c:pt idx="25">
                  <c:v>0.27083333333333326</c:v>
                </c:pt>
                <c:pt idx="26">
                  <c:v>0.28124999999999994</c:v>
                </c:pt>
                <c:pt idx="27">
                  <c:v>0.29166666666666663</c:v>
                </c:pt>
                <c:pt idx="28">
                  <c:v>0.30208333333333331</c:v>
                </c:pt>
                <c:pt idx="29">
                  <c:v>0.3125</c:v>
                </c:pt>
                <c:pt idx="30">
                  <c:v>0.32291666666666669</c:v>
                </c:pt>
                <c:pt idx="31">
                  <c:v>0.33333333333333337</c:v>
                </c:pt>
                <c:pt idx="32">
                  <c:v>0.34375000000000006</c:v>
                </c:pt>
                <c:pt idx="33">
                  <c:v>0.35416666666666674</c:v>
                </c:pt>
                <c:pt idx="34">
                  <c:v>0.36458333333333343</c:v>
                </c:pt>
                <c:pt idx="35">
                  <c:v>0.37500000000000011</c:v>
                </c:pt>
                <c:pt idx="36">
                  <c:v>0.3854166666666668</c:v>
                </c:pt>
                <c:pt idx="37">
                  <c:v>0.39583333333333348</c:v>
                </c:pt>
                <c:pt idx="38">
                  <c:v>0.40625000000000017</c:v>
                </c:pt>
                <c:pt idx="39">
                  <c:v>0.41666666666666685</c:v>
                </c:pt>
                <c:pt idx="40">
                  <c:v>0.42708333333333354</c:v>
                </c:pt>
                <c:pt idx="41">
                  <c:v>0.43750000000000022</c:v>
                </c:pt>
                <c:pt idx="42">
                  <c:v>0.44791666666666691</c:v>
                </c:pt>
                <c:pt idx="43">
                  <c:v>0.45833333333333359</c:v>
                </c:pt>
                <c:pt idx="44">
                  <c:v>0.46875000000000028</c:v>
                </c:pt>
                <c:pt idx="45">
                  <c:v>0.47916666666666696</c:v>
                </c:pt>
                <c:pt idx="46">
                  <c:v>0.48958333333333365</c:v>
                </c:pt>
                <c:pt idx="47">
                  <c:v>0.50000000000000033</c:v>
                </c:pt>
                <c:pt idx="48">
                  <c:v>0.51041666666666696</c:v>
                </c:pt>
                <c:pt idx="49">
                  <c:v>0.52083333333333359</c:v>
                </c:pt>
                <c:pt idx="50">
                  <c:v>0.53125000000000022</c:v>
                </c:pt>
                <c:pt idx="51">
                  <c:v>0.54166666666666685</c:v>
                </c:pt>
                <c:pt idx="52">
                  <c:v>0.55208333333333348</c:v>
                </c:pt>
                <c:pt idx="53">
                  <c:v>0.56250000000000011</c:v>
                </c:pt>
                <c:pt idx="54">
                  <c:v>0.57291666666666674</c:v>
                </c:pt>
                <c:pt idx="55">
                  <c:v>0.58333333333333337</c:v>
                </c:pt>
                <c:pt idx="56">
                  <c:v>0.59375</c:v>
                </c:pt>
                <c:pt idx="57">
                  <c:v>0.60416666666666663</c:v>
                </c:pt>
                <c:pt idx="58">
                  <c:v>0.61458333333333326</c:v>
                </c:pt>
                <c:pt idx="59">
                  <c:v>0.62499999999999989</c:v>
                </c:pt>
                <c:pt idx="60">
                  <c:v>0.63541666666666652</c:v>
                </c:pt>
                <c:pt idx="61">
                  <c:v>0.64583333333333315</c:v>
                </c:pt>
                <c:pt idx="62">
                  <c:v>0.65624999999999978</c:v>
                </c:pt>
                <c:pt idx="63">
                  <c:v>0.66666666666666641</c:v>
                </c:pt>
                <c:pt idx="64">
                  <c:v>0.67708333333333304</c:v>
                </c:pt>
                <c:pt idx="65">
                  <c:v>0.68749999999999967</c:v>
                </c:pt>
                <c:pt idx="66">
                  <c:v>0.6979166666666663</c:v>
                </c:pt>
                <c:pt idx="67">
                  <c:v>0.70833333333333293</c:v>
                </c:pt>
                <c:pt idx="68">
                  <c:v>0.71874999999999956</c:v>
                </c:pt>
                <c:pt idx="69">
                  <c:v>0.72916666666666619</c:v>
                </c:pt>
                <c:pt idx="70">
                  <c:v>0.73958333333333282</c:v>
                </c:pt>
                <c:pt idx="71">
                  <c:v>0.74999999999999944</c:v>
                </c:pt>
                <c:pt idx="72">
                  <c:v>0.76041666666666607</c:v>
                </c:pt>
                <c:pt idx="73">
                  <c:v>0.7708333333333327</c:v>
                </c:pt>
                <c:pt idx="74">
                  <c:v>0.78124999999999933</c:v>
                </c:pt>
                <c:pt idx="75">
                  <c:v>0.79166666666666596</c:v>
                </c:pt>
                <c:pt idx="76">
                  <c:v>0.80208333333333259</c:v>
                </c:pt>
                <c:pt idx="77">
                  <c:v>0.81249999999999922</c:v>
                </c:pt>
                <c:pt idx="78">
                  <c:v>0.82291666666666585</c:v>
                </c:pt>
                <c:pt idx="79">
                  <c:v>0.83333333333333248</c:v>
                </c:pt>
                <c:pt idx="80">
                  <c:v>0.84374999999999911</c:v>
                </c:pt>
                <c:pt idx="81">
                  <c:v>0.85416666666666574</c:v>
                </c:pt>
                <c:pt idx="82">
                  <c:v>0.86458333333333237</c:v>
                </c:pt>
                <c:pt idx="83">
                  <c:v>0.874999999999999</c:v>
                </c:pt>
                <c:pt idx="84">
                  <c:v>0.88541666666666563</c:v>
                </c:pt>
                <c:pt idx="85">
                  <c:v>0.89583333333333226</c:v>
                </c:pt>
                <c:pt idx="86">
                  <c:v>0.90624999999999889</c:v>
                </c:pt>
                <c:pt idx="87">
                  <c:v>0.91666666666666552</c:v>
                </c:pt>
                <c:pt idx="88">
                  <c:v>0.92708333333333215</c:v>
                </c:pt>
                <c:pt idx="89">
                  <c:v>0.93749999999999878</c:v>
                </c:pt>
                <c:pt idx="90">
                  <c:v>0.94791666666666541</c:v>
                </c:pt>
                <c:pt idx="91">
                  <c:v>0.95833333333333204</c:v>
                </c:pt>
                <c:pt idx="92">
                  <c:v>0.96874999999999867</c:v>
                </c:pt>
                <c:pt idx="93">
                  <c:v>0.9791666666666653</c:v>
                </c:pt>
                <c:pt idx="94">
                  <c:v>0.98958333333333193</c:v>
                </c:pt>
                <c:pt idx="95">
                  <c:v>0.99999999999999856</c:v>
                </c:pt>
              </c:numCache>
            </c:numRef>
          </c:xVal>
          <c:yVal>
            <c:numRef>
              <c:f>'1ο ερωτημα'!$H$25:$H$120</c:f>
              <c:numCache>
                <c:formatCode>_(* #,##0.00_);_(* \(#,##0.00\);_(* "-"??_);_(@_)</c:formatCode>
                <c:ptCount val="96"/>
                <c:pt idx="0">
                  <c:v>11.690000000000001</c:v>
                </c:pt>
                <c:pt idx="1">
                  <c:v>8.99</c:v>
                </c:pt>
                <c:pt idx="2">
                  <c:v>6.39</c:v>
                </c:pt>
                <c:pt idx="3">
                  <c:v>6.39</c:v>
                </c:pt>
                <c:pt idx="4">
                  <c:v>6.39</c:v>
                </c:pt>
                <c:pt idx="5">
                  <c:v>6.09</c:v>
                </c:pt>
                <c:pt idx="6">
                  <c:v>5.89</c:v>
                </c:pt>
                <c:pt idx="7">
                  <c:v>5.6899999999999995</c:v>
                </c:pt>
                <c:pt idx="8">
                  <c:v>5.6899999999999995</c:v>
                </c:pt>
                <c:pt idx="9">
                  <c:v>5.4899999999999993</c:v>
                </c:pt>
                <c:pt idx="10">
                  <c:v>5.29</c:v>
                </c:pt>
                <c:pt idx="11">
                  <c:v>5.1899999999999995</c:v>
                </c:pt>
                <c:pt idx="12">
                  <c:v>4.59</c:v>
                </c:pt>
                <c:pt idx="13">
                  <c:v>4.59</c:v>
                </c:pt>
                <c:pt idx="14">
                  <c:v>3.9899999999999993</c:v>
                </c:pt>
                <c:pt idx="15">
                  <c:v>3.8899999999999997</c:v>
                </c:pt>
                <c:pt idx="16">
                  <c:v>3.8899999999999997</c:v>
                </c:pt>
                <c:pt idx="17">
                  <c:v>3.8899999999999997</c:v>
                </c:pt>
                <c:pt idx="18">
                  <c:v>3.79</c:v>
                </c:pt>
                <c:pt idx="19">
                  <c:v>3.79</c:v>
                </c:pt>
                <c:pt idx="20">
                  <c:v>3.6899999999999995</c:v>
                </c:pt>
                <c:pt idx="21">
                  <c:v>3.6899999999999995</c:v>
                </c:pt>
                <c:pt idx="22">
                  <c:v>3.6899999999999995</c:v>
                </c:pt>
                <c:pt idx="23">
                  <c:v>3.59</c:v>
                </c:pt>
                <c:pt idx="24">
                  <c:v>3.3899999999999997</c:v>
                </c:pt>
                <c:pt idx="25">
                  <c:v>3.3899999999999997</c:v>
                </c:pt>
                <c:pt idx="26">
                  <c:v>3.3899999999999997</c:v>
                </c:pt>
                <c:pt idx="27">
                  <c:v>3.29</c:v>
                </c:pt>
                <c:pt idx="28">
                  <c:v>3.09</c:v>
                </c:pt>
                <c:pt idx="29">
                  <c:v>3.09</c:v>
                </c:pt>
                <c:pt idx="30">
                  <c:v>2.99</c:v>
                </c:pt>
                <c:pt idx="31">
                  <c:v>2.99</c:v>
                </c:pt>
                <c:pt idx="32">
                  <c:v>2.99</c:v>
                </c:pt>
                <c:pt idx="33">
                  <c:v>2.8899999999999997</c:v>
                </c:pt>
                <c:pt idx="34">
                  <c:v>2.8899999999999997</c:v>
                </c:pt>
                <c:pt idx="35">
                  <c:v>2.8899999999999997</c:v>
                </c:pt>
                <c:pt idx="36">
                  <c:v>2.79</c:v>
                </c:pt>
                <c:pt idx="37">
                  <c:v>2.79</c:v>
                </c:pt>
                <c:pt idx="38">
                  <c:v>2.6899999999999995</c:v>
                </c:pt>
                <c:pt idx="39">
                  <c:v>2.6899999999999995</c:v>
                </c:pt>
                <c:pt idx="40">
                  <c:v>2.6899999999999995</c:v>
                </c:pt>
                <c:pt idx="41">
                  <c:v>2.4900000000000002</c:v>
                </c:pt>
                <c:pt idx="42">
                  <c:v>2.4900000000000002</c:v>
                </c:pt>
                <c:pt idx="43">
                  <c:v>2.3899999999999997</c:v>
                </c:pt>
                <c:pt idx="44">
                  <c:v>2.3899999999999997</c:v>
                </c:pt>
                <c:pt idx="45">
                  <c:v>2.3899999999999997</c:v>
                </c:pt>
                <c:pt idx="46">
                  <c:v>2.1899999999999995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2.09</c:v>
                </c:pt>
                <c:pt idx="52">
                  <c:v>2.09</c:v>
                </c:pt>
                <c:pt idx="53">
                  <c:v>1.99</c:v>
                </c:pt>
                <c:pt idx="54">
                  <c:v>1.89</c:v>
                </c:pt>
                <c:pt idx="55">
                  <c:v>1.89</c:v>
                </c:pt>
                <c:pt idx="56">
                  <c:v>1.7899999999999998</c:v>
                </c:pt>
                <c:pt idx="57">
                  <c:v>1.7899999999999998</c:v>
                </c:pt>
                <c:pt idx="58">
                  <c:v>1.7899999999999998</c:v>
                </c:pt>
                <c:pt idx="59">
                  <c:v>1.7899999999999998</c:v>
                </c:pt>
                <c:pt idx="60">
                  <c:v>1.6899999999999997</c:v>
                </c:pt>
                <c:pt idx="61">
                  <c:v>1.6899999999999997</c:v>
                </c:pt>
                <c:pt idx="62">
                  <c:v>1.6899999999999997</c:v>
                </c:pt>
                <c:pt idx="63">
                  <c:v>1.59</c:v>
                </c:pt>
                <c:pt idx="64">
                  <c:v>1.59</c:v>
                </c:pt>
                <c:pt idx="65">
                  <c:v>1.59</c:v>
                </c:pt>
                <c:pt idx="66">
                  <c:v>1.59</c:v>
                </c:pt>
                <c:pt idx="67">
                  <c:v>1.59</c:v>
                </c:pt>
                <c:pt idx="68">
                  <c:v>1.59</c:v>
                </c:pt>
                <c:pt idx="69">
                  <c:v>1.59</c:v>
                </c:pt>
                <c:pt idx="70">
                  <c:v>1.49</c:v>
                </c:pt>
                <c:pt idx="71">
                  <c:v>1.49</c:v>
                </c:pt>
                <c:pt idx="72">
                  <c:v>1.49</c:v>
                </c:pt>
                <c:pt idx="73">
                  <c:v>1.49</c:v>
                </c:pt>
                <c:pt idx="74">
                  <c:v>1.49</c:v>
                </c:pt>
                <c:pt idx="75">
                  <c:v>1.49</c:v>
                </c:pt>
                <c:pt idx="76">
                  <c:v>1.49</c:v>
                </c:pt>
                <c:pt idx="77">
                  <c:v>1.39</c:v>
                </c:pt>
                <c:pt idx="78">
                  <c:v>1.39</c:v>
                </c:pt>
                <c:pt idx="79">
                  <c:v>1.39</c:v>
                </c:pt>
                <c:pt idx="80">
                  <c:v>1.39</c:v>
                </c:pt>
                <c:pt idx="81">
                  <c:v>1.2899999999999998</c:v>
                </c:pt>
                <c:pt idx="82">
                  <c:v>1.2899999999999998</c:v>
                </c:pt>
                <c:pt idx="83">
                  <c:v>1.2899999999999998</c:v>
                </c:pt>
                <c:pt idx="84">
                  <c:v>1.2899999999999998</c:v>
                </c:pt>
                <c:pt idx="85">
                  <c:v>1.19</c:v>
                </c:pt>
                <c:pt idx="86">
                  <c:v>1.0899999999999999</c:v>
                </c:pt>
                <c:pt idx="87">
                  <c:v>1.0899999999999999</c:v>
                </c:pt>
                <c:pt idx="88">
                  <c:v>1.0899999999999999</c:v>
                </c:pt>
                <c:pt idx="89">
                  <c:v>0.78999999999999981</c:v>
                </c:pt>
                <c:pt idx="90">
                  <c:v>0.78999999999999981</c:v>
                </c:pt>
                <c:pt idx="91">
                  <c:v>0.69</c:v>
                </c:pt>
                <c:pt idx="92">
                  <c:v>0.69</c:v>
                </c:pt>
                <c:pt idx="93">
                  <c:v>0.58999999999999986</c:v>
                </c:pt>
                <c:pt idx="94">
                  <c:v>0.28999999999999992</c:v>
                </c:pt>
                <c:pt idx="95">
                  <c:v>8.9999999999999858E-2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183856"/>
        <c:axId val="1768180592"/>
      </c:scatterChart>
      <c:valAx>
        <c:axId val="176818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l-GR" sz="1100" b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Χρόνου</a:t>
                </a:r>
                <a:endParaRPr lang="el-GR" sz="11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0592"/>
        <c:crosses val="autoZero"/>
        <c:crossBetween val="midCat"/>
      </c:valAx>
      <c:valAx>
        <c:axId val="176818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(m^3/s)</a:t>
                </a:r>
                <a:endParaRPr lang="el-GR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3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Καμπύλη</a:t>
            </a:r>
            <a:r>
              <a:rPr lang="el-GR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Διάρκειας Αξιοποιήσιμης Παροχής</a:t>
            </a:r>
            <a:endParaRPr lang="el-GR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'1ο ερωτημα'!$H$24</c:f>
              <c:strCache>
                <c:ptCount val="1"/>
                <c:pt idx="0">
                  <c:v>Αξιοποιήσιμη Παροχή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'1ο ερωτημα'!$G$25:$G$120</c:f>
              <c:numCache>
                <c:formatCode>0%</c:formatCode>
                <c:ptCount val="96"/>
                <c:pt idx="0">
                  <c:v>1.0416666666666666E-2</c:v>
                </c:pt>
                <c:pt idx="1">
                  <c:v>2.0833333333333332E-2</c:v>
                </c:pt>
                <c:pt idx="2">
                  <c:v>3.125E-2</c:v>
                </c:pt>
                <c:pt idx="3">
                  <c:v>4.1666666666666664E-2</c:v>
                </c:pt>
                <c:pt idx="4">
                  <c:v>5.2083333333333329E-2</c:v>
                </c:pt>
                <c:pt idx="5">
                  <c:v>6.2499999999999993E-2</c:v>
                </c:pt>
                <c:pt idx="6">
                  <c:v>7.2916666666666657E-2</c:v>
                </c:pt>
                <c:pt idx="7">
                  <c:v>8.3333333333333329E-2</c:v>
                </c:pt>
                <c:pt idx="8">
                  <c:v>9.375E-2</c:v>
                </c:pt>
                <c:pt idx="9">
                  <c:v>0.10416666666666667</c:v>
                </c:pt>
                <c:pt idx="10">
                  <c:v>0.11458333333333334</c:v>
                </c:pt>
                <c:pt idx="11">
                  <c:v>0.125</c:v>
                </c:pt>
                <c:pt idx="12">
                  <c:v>0.13541666666666666</c:v>
                </c:pt>
                <c:pt idx="13">
                  <c:v>0.14583333333333331</c:v>
                </c:pt>
                <c:pt idx="14">
                  <c:v>0.15624999999999997</c:v>
                </c:pt>
                <c:pt idx="15">
                  <c:v>0.16666666666666663</c:v>
                </c:pt>
                <c:pt idx="16">
                  <c:v>0.17708333333333329</c:v>
                </c:pt>
                <c:pt idx="17">
                  <c:v>0.18749999999999994</c:v>
                </c:pt>
                <c:pt idx="18">
                  <c:v>0.1979166666666666</c:v>
                </c:pt>
                <c:pt idx="19">
                  <c:v>0.20833333333333326</c:v>
                </c:pt>
                <c:pt idx="20">
                  <c:v>0.21874999999999992</c:v>
                </c:pt>
                <c:pt idx="21">
                  <c:v>0.22916666666666657</c:v>
                </c:pt>
                <c:pt idx="22">
                  <c:v>0.23958333333333323</c:v>
                </c:pt>
                <c:pt idx="23">
                  <c:v>0.24999999999999989</c:v>
                </c:pt>
                <c:pt idx="24">
                  <c:v>0.26041666666666657</c:v>
                </c:pt>
                <c:pt idx="25">
                  <c:v>0.27083333333333326</c:v>
                </c:pt>
                <c:pt idx="26">
                  <c:v>0.28124999999999994</c:v>
                </c:pt>
                <c:pt idx="27">
                  <c:v>0.29166666666666663</c:v>
                </c:pt>
                <c:pt idx="28">
                  <c:v>0.30208333333333331</c:v>
                </c:pt>
                <c:pt idx="29">
                  <c:v>0.3125</c:v>
                </c:pt>
                <c:pt idx="30">
                  <c:v>0.32291666666666669</c:v>
                </c:pt>
                <c:pt idx="31">
                  <c:v>0.33333333333333337</c:v>
                </c:pt>
                <c:pt idx="32">
                  <c:v>0.34375000000000006</c:v>
                </c:pt>
                <c:pt idx="33">
                  <c:v>0.35416666666666674</c:v>
                </c:pt>
                <c:pt idx="34">
                  <c:v>0.36458333333333343</c:v>
                </c:pt>
                <c:pt idx="35">
                  <c:v>0.37500000000000011</c:v>
                </c:pt>
                <c:pt idx="36">
                  <c:v>0.3854166666666668</c:v>
                </c:pt>
                <c:pt idx="37">
                  <c:v>0.39583333333333348</c:v>
                </c:pt>
                <c:pt idx="38">
                  <c:v>0.40625000000000017</c:v>
                </c:pt>
                <c:pt idx="39">
                  <c:v>0.41666666666666685</c:v>
                </c:pt>
                <c:pt idx="40">
                  <c:v>0.42708333333333354</c:v>
                </c:pt>
                <c:pt idx="41">
                  <c:v>0.43750000000000022</c:v>
                </c:pt>
                <c:pt idx="42">
                  <c:v>0.44791666666666691</c:v>
                </c:pt>
                <c:pt idx="43">
                  <c:v>0.45833333333333359</c:v>
                </c:pt>
                <c:pt idx="44">
                  <c:v>0.46875000000000028</c:v>
                </c:pt>
                <c:pt idx="45">
                  <c:v>0.47916666666666696</c:v>
                </c:pt>
                <c:pt idx="46">
                  <c:v>0.48958333333333365</c:v>
                </c:pt>
                <c:pt idx="47">
                  <c:v>0.50000000000000033</c:v>
                </c:pt>
                <c:pt idx="48">
                  <c:v>0.51041666666666696</c:v>
                </c:pt>
                <c:pt idx="49">
                  <c:v>0.52083333333333359</c:v>
                </c:pt>
                <c:pt idx="50">
                  <c:v>0.53125000000000022</c:v>
                </c:pt>
                <c:pt idx="51">
                  <c:v>0.54166666666666685</c:v>
                </c:pt>
                <c:pt idx="52">
                  <c:v>0.55208333333333348</c:v>
                </c:pt>
                <c:pt idx="53">
                  <c:v>0.56250000000000011</c:v>
                </c:pt>
                <c:pt idx="54">
                  <c:v>0.57291666666666674</c:v>
                </c:pt>
                <c:pt idx="55">
                  <c:v>0.58333333333333337</c:v>
                </c:pt>
                <c:pt idx="56">
                  <c:v>0.59375</c:v>
                </c:pt>
                <c:pt idx="57">
                  <c:v>0.60416666666666663</c:v>
                </c:pt>
                <c:pt idx="58">
                  <c:v>0.61458333333333326</c:v>
                </c:pt>
                <c:pt idx="59">
                  <c:v>0.62499999999999989</c:v>
                </c:pt>
                <c:pt idx="60">
                  <c:v>0.63541666666666652</c:v>
                </c:pt>
                <c:pt idx="61">
                  <c:v>0.64583333333333315</c:v>
                </c:pt>
                <c:pt idx="62">
                  <c:v>0.65624999999999978</c:v>
                </c:pt>
                <c:pt idx="63">
                  <c:v>0.66666666666666641</c:v>
                </c:pt>
                <c:pt idx="64">
                  <c:v>0.67708333333333304</c:v>
                </c:pt>
                <c:pt idx="65">
                  <c:v>0.68749999999999967</c:v>
                </c:pt>
                <c:pt idx="66">
                  <c:v>0.6979166666666663</c:v>
                </c:pt>
                <c:pt idx="67">
                  <c:v>0.70833333333333293</c:v>
                </c:pt>
                <c:pt idx="68">
                  <c:v>0.71874999999999956</c:v>
                </c:pt>
                <c:pt idx="69">
                  <c:v>0.72916666666666619</c:v>
                </c:pt>
                <c:pt idx="70">
                  <c:v>0.73958333333333282</c:v>
                </c:pt>
                <c:pt idx="71">
                  <c:v>0.74999999999999944</c:v>
                </c:pt>
                <c:pt idx="72">
                  <c:v>0.76041666666666607</c:v>
                </c:pt>
                <c:pt idx="73">
                  <c:v>0.7708333333333327</c:v>
                </c:pt>
                <c:pt idx="74">
                  <c:v>0.78124999999999933</c:v>
                </c:pt>
                <c:pt idx="75">
                  <c:v>0.79166666666666596</c:v>
                </c:pt>
                <c:pt idx="76">
                  <c:v>0.80208333333333259</c:v>
                </c:pt>
                <c:pt idx="77">
                  <c:v>0.81249999999999922</c:v>
                </c:pt>
                <c:pt idx="78">
                  <c:v>0.82291666666666585</c:v>
                </c:pt>
                <c:pt idx="79">
                  <c:v>0.83333333333333248</c:v>
                </c:pt>
                <c:pt idx="80">
                  <c:v>0.84374999999999911</c:v>
                </c:pt>
                <c:pt idx="81">
                  <c:v>0.85416666666666574</c:v>
                </c:pt>
                <c:pt idx="82">
                  <c:v>0.86458333333333237</c:v>
                </c:pt>
                <c:pt idx="83">
                  <c:v>0.874999999999999</c:v>
                </c:pt>
                <c:pt idx="84">
                  <c:v>0.88541666666666563</c:v>
                </c:pt>
                <c:pt idx="85">
                  <c:v>0.89583333333333226</c:v>
                </c:pt>
                <c:pt idx="86">
                  <c:v>0.90624999999999889</c:v>
                </c:pt>
                <c:pt idx="87">
                  <c:v>0.91666666666666552</c:v>
                </c:pt>
                <c:pt idx="88">
                  <c:v>0.92708333333333215</c:v>
                </c:pt>
                <c:pt idx="89">
                  <c:v>0.93749999999999878</c:v>
                </c:pt>
                <c:pt idx="90">
                  <c:v>0.94791666666666541</c:v>
                </c:pt>
                <c:pt idx="91">
                  <c:v>0.95833333333333204</c:v>
                </c:pt>
                <c:pt idx="92">
                  <c:v>0.96874999999999867</c:v>
                </c:pt>
                <c:pt idx="93">
                  <c:v>0.9791666666666653</c:v>
                </c:pt>
                <c:pt idx="94">
                  <c:v>0.98958333333333193</c:v>
                </c:pt>
                <c:pt idx="95">
                  <c:v>0.99999999999999856</c:v>
                </c:pt>
              </c:numCache>
            </c:numRef>
          </c:xVal>
          <c:yVal>
            <c:numRef>
              <c:f>'1ο ερωτημα'!$H$25:$H$120</c:f>
              <c:numCache>
                <c:formatCode>_(* #,##0.00_);_(* \(#,##0.00\);_(* "-"??_);_(@_)</c:formatCode>
                <c:ptCount val="96"/>
                <c:pt idx="0">
                  <c:v>11.690000000000001</c:v>
                </c:pt>
                <c:pt idx="1">
                  <c:v>8.99</c:v>
                </c:pt>
                <c:pt idx="2">
                  <c:v>6.39</c:v>
                </c:pt>
                <c:pt idx="3">
                  <c:v>6.39</c:v>
                </c:pt>
                <c:pt idx="4">
                  <c:v>6.39</c:v>
                </c:pt>
                <c:pt idx="5">
                  <c:v>6.09</c:v>
                </c:pt>
                <c:pt idx="6">
                  <c:v>5.89</c:v>
                </c:pt>
                <c:pt idx="7">
                  <c:v>5.6899999999999995</c:v>
                </c:pt>
                <c:pt idx="8">
                  <c:v>5.6899999999999995</c:v>
                </c:pt>
                <c:pt idx="9">
                  <c:v>5.4899999999999993</c:v>
                </c:pt>
                <c:pt idx="10">
                  <c:v>5.29</c:v>
                </c:pt>
                <c:pt idx="11">
                  <c:v>5.1899999999999995</c:v>
                </c:pt>
                <c:pt idx="12">
                  <c:v>4.59</c:v>
                </c:pt>
                <c:pt idx="13">
                  <c:v>4.59</c:v>
                </c:pt>
                <c:pt idx="14">
                  <c:v>3.9899999999999993</c:v>
                </c:pt>
                <c:pt idx="15">
                  <c:v>3.8899999999999997</c:v>
                </c:pt>
                <c:pt idx="16">
                  <c:v>3.8899999999999997</c:v>
                </c:pt>
                <c:pt idx="17">
                  <c:v>3.8899999999999997</c:v>
                </c:pt>
                <c:pt idx="18">
                  <c:v>3.79</c:v>
                </c:pt>
                <c:pt idx="19">
                  <c:v>3.79</c:v>
                </c:pt>
                <c:pt idx="20">
                  <c:v>3.6899999999999995</c:v>
                </c:pt>
                <c:pt idx="21">
                  <c:v>3.6899999999999995</c:v>
                </c:pt>
                <c:pt idx="22">
                  <c:v>3.6899999999999995</c:v>
                </c:pt>
                <c:pt idx="23">
                  <c:v>3.59</c:v>
                </c:pt>
                <c:pt idx="24">
                  <c:v>3.3899999999999997</c:v>
                </c:pt>
                <c:pt idx="25">
                  <c:v>3.3899999999999997</c:v>
                </c:pt>
                <c:pt idx="26">
                  <c:v>3.3899999999999997</c:v>
                </c:pt>
                <c:pt idx="27">
                  <c:v>3.29</c:v>
                </c:pt>
                <c:pt idx="28">
                  <c:v>3.09</c:v>
                </c:pt>
                <c:pt idx="29">
                  <c:v>3.09</c:v>
                </c:pt>
                <c:pt idx="30">
                  <c:v>2.99</c:v>
                </c:pt>
                <c:pt idx="31">
                  <c:v>2.99</c:v>
                </c:pt>
                <c:pt idx="32">
                  <c:v>2.99</c:v>
                </c:pt>
                <c:pt idx="33">
                  <c:v>2.8899999999999997</c:v>
                </c:pt>
                <c:pt idx="34">
                  <c:v>2.8899999999999997</c:v>
                </c:pt>
                <c:pt idx="35">
                  <c:v>2.8899999999999997</c:v>
                </c:pt>
                <c:pt idx="36">
                  <c:v>2.79</c:v>
                </c:pt>
                <c:pt idx="37">
                  <c:v>2.79</c:v>
                </c:pt>
                <c:pt idx="38">
                  <c:v>2.6899999999999995</c:v>
                </c:pt>
                <c:pt idx="39">
                  <c:v>2.6899999999999995</c:v>
                </c:pt>
                <c:pt idx="40">
                  <c:v>2.6899999999999995</c:v>
                </c:pt>
                <c:pt idx="41">
                  <c:v>2.4900000000000002</c:v>
                </c:pt>
                <c:pt idx="42">
                  <c:v>2.4900000000000002</c:v>
                </c:pt>
                <c:pt idx="43">
                  <c:v>2.3899999999999997</c:v>
                </c:pt>
                <c:pt idx="44">
                  <c:v>2.3899999999999997</c:v>
                </c:pt>
                <c:pt idx="45">
                  <c:v>2.3899999999999997</c:v>
                </c:pt>
                <c:pt idx="46">
                  <c:v>2.1899999999999995</c:v>
                </c:pt>
                <c:pt idx="47">
                  <c:v>2.09</c:v>
                </c:pt>
                <c:pt idx="48">
                  <c:v>2.09</c:v>
                </c:pt>
                <c:pt idx="49">
                  <c:v>2.09</c:v>
                </c:pt>
                <c:pt idx="50">
                  <c:v>2.09</c:v>
                </c:pt>
                <c:pt idx="51">
                  <c:v>2.09</c:v>
                </c:pt>
                <c:pt idx="52">
                  <c:v>2.09</c:v>
                </c:pt>
                <c:pt idx="53">
                  <c:v>1.99</c:v>
                </c:pt>
                <c:pt idx="54">
                  <c:v>1.89</c:v>
                </c:pt>
                <c:pt idx="55">
                  <c:v>1.89</c:v>
                </c:pt>
                <c:pt idx="56">
                  <c:v>1.7899999999999998</c:v>
                </c:pt>
                <c:pt idx="57">
                  <c:v>1.7899999999999998</c:v>
                </c:pt>
                <c:pt idx="58">
                  <c:v>1.7899999999999998</c:v>
                </c:pt>
                <c:pt idx="59">
                  <c:v>1.7899999999999998</c:v>
                </c:pt>
                <c:pt idx="60">
                  <c:v>1.6899999999999997</c:v>
                </c:pt>
                <c:pt idx="61">
                  <c:v>1.6899999999999997</c:v>
                </c:pt>
                <c:pt idx="62">
                  <c:v>1.6899999999999997</c:v>
                </c:pt>
                <c:pt idx="63">
                  <c:v>1.59</c:v>
                </c:pt>
                <c:pt idx="64">
                  <c:v>1.59</c:v>
                </c:pt>
                <c:pt idx="65">
                  <c:v>1.59</c:v>
                </c:pt>
                <c:pt idx="66">
                  <c:v>1.59</c:v>
                </c:pt>
                <c:pt idx="67">
                  <c:v>1.59</c:v>
                </c:pt>
                <c:pt idx="68">
                  <c:v>1.59</c:v>
                </c:pt>
                <c:pt idx="69">
                  <c:v>1.59</c:v>
                </c:pt>
                <c:pt idx="70">
                  <c:v>1.49</c:v>
                </c:pt>
                <c:pt idx="71">
                  <c:v>1.49</c:v>
                </c:pt>
                <c:pt idx="72">
                  <c:v>1.49</c:v>
                </c:pt>
                <c:pt idx="73">
                  <c:v>1.49</c:v>
                </c:pt>
                <c:pt idx="74">
                  <c:v>1.49</c:v>
                </c:pt>
                <c:pt idx="75">
                  <c:v>1.49</c:v>
                </c:pt>
                <c:pt idx="76">
                  <c:v>1.49</c:v>
                </c:pt>
                <c:pt idx="77">
                  <c:v>1.39</c:v>
                </c:pt>
                <c:pt idx="78">
                  <c:v>1.39</c:v>
                </c:pt>
                <c:pt idx="79">
                  <c:v>1.39</c:v>
                </c:pt>
                <c:pt idx="80">
                  <c:v>1.39</c:v>
                </c:pt>
                <c:pt idx="81">
                  <c:v>1.2899999999999998</c:v>
                </c:pt>
                <c:pt idx="82">
                  <c:v>1.2899999999999998</c:v>
                </c:pt>
                <c:pt idx="83">
                  <c:v>1.2899999999999998</c:v>
                </c:pt>
                <c:pt idx="84">
                  <c:v>1.2899999999999998</c:v>
                </c:pt>
                <c:pt idx="85">
                  <c:v>1.19</c:v>
                </c:pt>
                <c:pt idx="86">
                  <c:v>1.0899999999999999</c:v>
                </c:pt>
                <c:pt idx="87">
                  <c:v>1.0899999999999999</c:v>
                </c:pt>
                <c:pt idx="88">
                  <c:v>1.0899999999999999</c:v>
                </c:pt>
                <c:pt idx="89">
                  <c:v>0.78999999999999981</c:v>
                </c:pt>
                <c:pt idx="90">
                  <c:v>0.78999999999999981</c:v>
                </c:pt>
                <c:pt idx="91">
                  <c:v>0.69</c:v>
                </c:pt>
                <c:pt idx="92">
                  <c:v>0.69</c:v>
                </c:pt>
                <c:pt idx="93">
                  <c:v>0.58999999999999986</c:v>
                </c:pt>
                <c:pt idx="94">
                  <c:v>0.28999999999999992</c:v>
                </c:pt>
                <c:pt idx="95">
                  <c:v>8.9999999999999858E-2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175152"/>
        <c:axId val="1768182768"/>
      </c:scatterChart>
      <c:valAx>
        <c:axId val="176817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</a:t>
                </a:r>
                <a:r>
                  <a:rPr lang="el-GR" sz="1100" b="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Χρόνου</a:t>
                </a:r>
                <a:endParaRPr lang="el-GR" sz="1100" b="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2768"/>
        <c:crosses val="autoZero"/>
        <c:crossBetween val="midCat"/>
      </c:valAx>
      <c:valAx>
        <c:axId val="17681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Q</a:t>
                </a:r>
                <a:r>
                  <a:rPr lang="en-US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(m^3/s)</a:t>
                </a:r>
                <a:endParaRPr lang="el-GR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7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Διάρκειας</a:t>
            </a:r>
            <a:r>
              <a:rPr lang="el-GR" baseline="0"/>
              <a:t> Παροχής</a:t>
            </a:r>
            <a:endParaRPr lang="el-G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'2ο ερωτημα'!$C$7</c:f>
              <c:strCache>
                <c:ptCount val="1"/>
                <c:pt idx="0">
                  <c:v>Qa αξιοποιησιμη παροχη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ερωτημα'!$C$8:$C$18</c:f>
              <c:numCache>
                <c:formatCode>General</c:formatCode>
                <c:ptCount val="11"/>
                <c:pt idx="0">
                  <c:v>11.69</c:v>
                </c:pt>
                <c:pt idx="1">
                  <c:v>5.49</c:v>
                </c:pt>
                <c:pt idx="2">
                  <c:v>3.79</c:v>
                </c:pt>
                <c:pt idx="3">
                  <c:v>3.09</c:v>
                </c:pt>
                <c:pt idx="4">
                  <c:v>2.79</c:v>
                </c:pt>
                <c:pt idx="5">
                  <c:v>2.09</c:v>
                </c:pt>
                <c:pt idx="6">
                  <c:v>1.7899999999999998</c:v>
                </c:pt>
                <c:pt idx="7">
                  <c:v>1.59</c:v>
                </c:pt>
                <c:pt idx="8">
                  <c:v>1.49</c:v>
                </c:pt>
                <c:pt idx="9">
                  <c:v>1.19</c:v>
                </c:pt>
                <c:pt idx="10">
                  <c:v>0.09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'2ο ερωτημα'!$D$7</c:f>
              <c:strCache>
                <c:ptCount val="1"/>
                <c:pt idx="0">
                  <c:v>Παροχή Υδροστροβίλου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ερωτημα'!$D$8:$D$18</c:f>
              <c:numCache>
                <c:formatCode>General</c:formatCode>
                <c:ptCount val="11"/>
                <c:pt idx="0">
                  <c:v>3.5534999999999997</c:v>
                </c:pt>
                <c:pt idx="1">
                  <c:v>3.5534999999999997</c:v>
                </c:pt>
                <c:pt idx="2">
                  <c:v>3.5534999999999997</c:v>
                </c:pt>
                <c:pt idx="3">
                  <c:v>3.09</c:v>
                </c:pt>
                <c:pt idx="4">
                  <c:v>2.79</c:v>
                </c:pt>
                <c:pt idx="5">
                  <c:v>2.09</c:v>
                </c:pt>
                <c:pt idx="6">
                  <c:v>1.7899999999999998</c:v>
                </c:pt>
                <c:pt idx="7">
                  <c:v>1.59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64816"/>
        <c:axId val="1768177328"/>
      </c:lineChart>
      <c:catAx>
        <c:axId val="176816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77328"/>
        <c:crosses val="autoZero"/>
        <c:auto val="1"/>
        <c:lblAlgn val="ctr"/>
        <c:lblOffset val="100"/>
        <c:noMultiLvlLbl val="0"/>
      </c:catAx>
      <c:valAx>
        <c:axId val="176817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6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Διάρκειας</a:t>
            </a:r>
            <a:r>
              <a:rPr lang="el-GR" baseline="0"/>
              <a:t> Παραγόμενης Ισχύος</a:t>
            </a:r>
            <a:endParaRPr lang="el-G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'2ο ερωτημα'!$H$7</c:f>
              <c:strCache>
                <c:ptCount val="1"/>
                <c:pt idx="0">
                  <c:v>N(KW)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ερωτημα'!$H$8:$H$18</c:f>
              <c:numCache>
                <c:formatCode>General</c:formatCode>
                <c:ptCount val="11"/>
                <c:pt idx="0">
                  <c:v>6932.5353886675357</c:v>
                </c:pt>
                <c:pt idx="1">
                  <c:v>6932.5353886675357</c:v>
                </c:pt>
                <c:pt idx="2">
                  <c:v>6932.5353886675357</c:v>
                </c:pt>
                <c:pt idx="3">
                  <c:v>5255.9796653699996</c:v>
                </c:pt>
                <c:pt idx="4">
                  <c:v>4291.4760346826215</c:v>
                </c:pt>
                <c:pt idx="5">
                  <c:v>2415.2891464444333</c:v>
                </c:pt>
                <c:pt idx="6">
                  <c:v>1773.4433988638509</c:v>
                </c:pt>
                <c:pt idx="7">
                  <c:v>1400.0958913505829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87120"/>
        <c:axId val="1768181680"/>
      </c:lineChart>
      <c:catAx>
        <c:axId val="176818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1680"/>
        <c:crosses val="autoZero"/>
        <c:auto val="1"/>
        <c:lblAlgn val="ctr"/>
        <c:lblOffset val="100"/>
        <c:noMultiLvlLbl val="0"/>
      </c:catAx>
      <c:valAx>
        <c:axId val="176818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Διάρκειας</a:t>
            </a:r>
            <a:r>
              <a:rPr lang="el-GR" baseline="0"/>
              <a:t> Παροχής</a:t>
            </a:r>
            <a:endParaRPr lang="el-G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'2ο ερωτημα'!$C$36</c:f>
              <c:strCache>
                <c:ptCount val="1"/>
                <c:pt idx="0">
                  <c:v>Qa αξιοποιησιμη παροχη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ερωτημα'!$B$37:$B$47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ερωτημα'!$C$37:$C$47</c:f>
              <c:numCache>
                <c:formatCode>General</c:formatCode>
                <c:ptCount val="11"/>
                <c:pt idx="0">
                  <c:v>11.690000000000001</c:v>
                </c:pt>
                <c:pt idx="1">
                  <c:v>5.49</c:v>
                </c:pt>
                <c:pt idx="2">
                  <c:v>3.79</c:v>
                </c:pt>
                <c:pt idx="3">
                  <c:v>3.09</c:v>
                </c:pt>
                <c:pt idx="4">
                  <c:v>2.79</c:v>
                </c:pt>
                <c:pt idx="5">
                  <c:v>2.09</c:v>
                </c:pt>
                <c:pt idx="6">
                  <c:v>1.79</c:v>
                </c:pt>
                <c:pt idx="7">
                  <c:v>1.59</c:v>
                </c:pt>
                <c:pt idx="8">
                  <c:v>1.49</c:v>
                </c:pt>
                <c:pt idx="9">
                  <c:v>1.19</c:v>
                </c:pt>
                <c:pt idx="10">
                  <c:v>0.09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'2ο ερωτημα'!$D$36</c:f>
              <c:strCache>
                <c:ptCount val="1"/>
                <c:pt idx="0">
                  <c:v>Q1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ερωτημα'!$B$37:$B$47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ερωτημα'!$D$37:$D$47</c:f>
              <c:numCache>
                <c:formatCode>_(* #,##0.00_);_(* \(#,##0.00\);_(* "-"??_);_(@_)</c:formatCode>
                <c:ptCount val="11"/>
                <c:pt idx="0">
                  <c:v>1.7767499999999998</c:v>
                </c:pt>
                <c:pt idx="1">
                  <c:v>1.7767499999999998</c:v>
                </c:pt>
                <c:pt idx="2">
                  <c:v>1.7767499999999998</c:v>
                </c:pt>
                <c:pt idx="3">
                  <c:v>1.7767499999999998</c:v>
                </c:pt>
                <c:pt idx="4">
                  <c:v>1.7767499999999998</c:v>
                </c:pt>
                <c:pt idx="5" formatCode="_-* #,##0.000\ _€_-;\-* #,##0.000\ _€_-;_-* &quot;-&quot;??\ _€_-;_-@_-">
                  <c:v>1.0449999999999999</c:v>
                </c:pt>
                <c:pt idx="6" formatCode="_-* #,##0.000\ _€_-;\-* #,##0.000\ _€_-;_-* &quot;-&quot;??\ _€_-;_-@_-">
                  <c:v>0.89500000000000002</c:v>
                </c:pt>
                <c:pt idx="7" formatCode="_-* #,##0.000\ _€_-;\-* #,##0.000\ _€_-;_-* &quot;-&quot;??\ _€_-;_-@_-">
                  <c:v>0.79500000000000004</c:v>
                </c:pt>
                <c:pt idx="8">
                  <c:v>1.49</c:v>
                </c:pt>
                <c:pt idx="9">
                  <c:v>1.19</c:v>
                </c:pt>
                <c:pt idx="10" formatCode="General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'2ο ερωτημα'!$E$36</c:f>
              <c:strCache>
                <c:ptCount val="1"/>
                <c:pt idx="0">
                  <c:v>Q2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ερωτημα'!$B$37:$B$47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ερωτημα'!$E$37:$E$47</c:f>
              <c:numCache>
                <c:formatCode>_(* #,##0.00_);_(* \(#,##0.00\);_(* "-"??_);_(@_)</c:formatCode>
                <c:ptCount val="11"/>
                <c:pt idx="0">
                  <c:v>1.7767499999999998</c:v>
                </c:pt>
                <c:pt idx="1">
                  <c:v>1.7767499999999998</c:v>
                </c:pt>
                <c:pt idx="2">
                  <c:v>1.0066250000000001</c:v>
                </c:pt>
                <c:pt idx="3">
                  <c:v>1.31325</c:v>
                </c:pt>
                <c:pt idx="4">
                  <c:v>1.0132500000000002</c:v>
                </c:pt>
                <c:pt idx="5">
                  <c:v>1.0449999999999999</c:v>
                </c:pt>
                <c:pt idx="6">
                  <c:v>0.89500000000000002</c:v>
                </c:pt>
                <c:pt idx="7">
                  <c:v>0.79500000000000004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'2ο ερωτημα'!$F$36</c:f>
              <c:strCache>
                <c:ptCount val="1"/>
                <c:pt idx="0">
                  <c:v>Q3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ερωτημα'!$B$37:$B$47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ερωτημα'!$F$37:$F$47</c:f>
              <c:numCache>
                <c:formatCode>_(* #,##0.00_);_(* \(#,##0.00\);_(* "-"??_);_(@_)</c:formatCode>
                <c:ptCount val="11"/>
                <c:pt idx="0">
                  <c:v>1.7767499999999998</c:v>
                </c:pt>
                <c:pt idx="1">
                  <c:v>1.7767499999999998</c:v>
                </c:pt>
                <c:pt idx="2">
                  <c:v>1.0066250000000001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84944"/>
        <c:axId val="1768166448"/>
      </c:lineChart>
      <c:catAx>
        <c:axId val="176818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66448"/>
        <c:crosses val="autoZero"/>
        <c:auto val="1"/>
        <c:lblAlgn val="ctr"/>
        <c:lblOffset val="100"/>
        <c:noMultiLvlLbl val="0"/>
      </c:catAx>
      <c:valAx>
        <c:axId val="17681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Διάρκειας</a:t>
            </a:r>
            <a:r>
              <a:rPr lang="el-GR" baseline="0"/>
              <a:t> Παραγόμενης Ισχύος</a:t>
            </a:r>
            <a:endParaRPr lang="el-G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'2ο ερωτημα'!$O$36</c:f>
              <c:strCache>
                <c:ptCount val="1"/>
                <c:pt idx="0">
                  <c:v>Ν1 (MW)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ερωτημα'!$O$37:$O$47</c:f>
              <c:numCache>
                <c:formatCode>_(* #,##0.00_);_(* \(#,##0.00\);_(* "-"??_);_(@_)</c:formatCode>
                <c:ptCount val="11"/>
                <c:pt idx="0">
                  <c:v>2.5269822423431161</c:v>
                </c:pt>
                <c:pt idx="1">
                  <c:v>2.5269822423431161</c:v>
                </c:pt>
                <c:pt idx="2">
                  <c:v>2.558168304863587</c:v>
                </c:pt>
                <c:pt idx="3">
                  <c:v>2.5688600614495867</c:v>
                </c:pt>
                <c:pt idx="4">
                  <c:v>2.5727762281060871</c:v>
                </c:pt>
                <c:pt idx="5">
                  <c:v>1.4819359028435499</c:v>
                </c:pt>
                <c:pt idx="6">
                  <c:v>1.1939534301513</c:v>
                </c:pt>
                <c:pt idx="7">
                  <c:v>1.0203529019512501</c:v>
                </c:pt>
                <c:pt idx="8">
                  <c:v>2.2189239640239</c:v>
                </c:pt>
                <c:pt idx="9">
                  <c:v>1.7326168938295001</c:v>
                </c:pt>
                <c:pt idx="10" formatCode="General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'2ο ερωτημα'!$P$36</c:f>
              <c:strCache>
                <c:ptCount val="1"/>
                <c:pt idx="0">
                  <c:v>Ν2 (MW)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ερωτημα'!$P$37:$P$47</c:f>
              <c:numCache>
                <c:formatCode>_(* #,##0.00_);_(* \(#,##0.00\);_(* "-"??_);_(@_)</c:formatCode>
                <c:ptCount val="11"/>
                <c:pt idx="0">
                  <c:v>2.5269822423431161</c:v>
                </c:pt>
                <c:pt idx="1">
                  <c:v>2.5269822423431161</c:v>
                </c:pt>
                <c:pt idx="2">
                  <c:v>1.3981875428893227</c:v>
                </c:pt>
                <c:pt idx="3">
                  <c:v>1.8987226541149123</c:v>
                </c:pt>
                <c:pt idx="4">
                  <c:v>1.4326874917995676</c:v>
                </c:pt>
                <c:pt idx="5">
                  <c:v>1.4819359028435499</c:v>
                </c:pt>
                <c:pt idx="6">
                  <c:v>1.1939534301513</c:v>
                </c:pt>
                <c:pt idx="7">
                  <c:v>1.0203529019512501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'2ο ερωτημα'!$R$36</c:f>
              <c:strCache>
                <c:ptCount val="1"/>
                <c:pt idx="0">
                  <c:v>Nολικο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ερωτημα'!$R$37:$R$47</c:f>
              <c:numCache>
                <c:formatCode>_(* #,##0.00_);_(* \(#,##0.00\);_(* "-"??_);_(@_)</c:formatCode>
                <c:ptCount val="11"/>
                <c:pt idx="0">
                  <c:v>7.5809467270293478</c:v>
                </c:pt>
                <c:pt idx="1">
                  <c:v>7.5809467270293478</c:v>
                </c:pt>
                <c:pt idx="2">
                  <c:v>5.3545433906422328</c:v>
                </c:pt>
                <c:pt idx="3">
                  <c:v>4.4675827155644985</c:v>
                </c:pt>
                <c:pt idx="4">
                  <c:v>4.0054637199056549</c:v>
                </c:pt>
                <c:pt idx="5">
                  <c:v>2.9638718056870998</c:v>
                </c:pt>
                <c:pt idx="6">
                  <c:v>2.3879068603025999</c:v>
                </c:pt>
                <c:pt idx="7">
                  <c:v>2.0407058039025001</c:v>
                </c:pt>
                <c:pt idx="8">
                  <c:v>2.2189239640239</c:v>
                </c:pt>
                <c:pt idx="9">
                  <c:v>1.7326168938295001</c:v>
                </c:pt>
                <c:pt idx="10" formatCode="General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'2ο ερωτημα'!$Q$36</c:f>
              <c:strCache>
                <c:ptCount val="1"/>
                <c:pt idx="0">
                  <c:v>Ν3 (MW)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'2ο ερωτημα'!$B$8:$B$18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'2ο ερωτημα'!$Q$37:$Q$47</c:f>
              <c:numCache>
                <c:formatCode>_(* #,##0.00_);_(* \(#,##0.00\);_(* "-"??_);_(@_)</c:formatCode>
                <c:ptCount val="11"/>
                <c:pt idx="0">
                  <c:v>2.5269822423431161</c:v>
                </c:pt>
                <c:pt idx="1">
                  <c:v>2.5269822423431161</c:v>
                </c:pt>
                <c:pt idx="2">
                  <c:v>1.3981875428893227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192016"/>
        <c:axId val="1768162096"/>
      </c:lineChart>
      <c:catAx>
        <c:axId val="176819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62096"/>
        <c:crosses val="autoZero"/>
        <c:auto val="1"/>
        <c:lblAlgn val="ctr"/>
        <c:lblOffset val="100"/>
        <c:noMultiLvlLbl val="0"/>
      </c:catAx>
      <c:valAx>
        <c:axId val="176816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6819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609601</xdr:colOff>
      <xdr:row>3</xdr:row>
      <xdr:rowOff>98612</xdr:rowOff>
    </xdr:from>
    <xdr:to>
      <xdr:col>21</xdr:col>
      <xdr:colOff>242046</xdr:colOff>
      <xdr:row>22</xdr:row>
      <xdr:rowOff>165847</xdr:rowOff>
    </xdr:to>
    <xdr:graphicFrame macro="">
      <xdr:nvGraphicFramePr>
        <xdr:cNvPr id="4" name="Γράφημα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286869</xdr:colOff>
      <xdr:row>24</xdr:row>
      <xdr:rowOff>8965</xdr:rowOff>
    </xdr:from>
    <xdr:to>
      <xdr:col>26</xdr:col>
      <xdr:colOff>367552</xdr:colOff>
      <xdr:row>44</xdr:row>
      <xdr:rowOff>40341</xdr:rowOff>
    </xdr:to>
    <xdr:graphicFrame macro="">
      <xdr:nvGraphicFramePr>
        <xdr:cNvPr id="6" name="Γράφημα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125506</xdr:colOff>
      <xdr:row>39</xdr:row>
      <xdr:rowOff>26893</xdr:rowOff>
    </xdr:from>
    <xdr:to>
      <xdr:col>17</xdr:col>
      <xdr:colOff>44824</xdr:colOff>
      <xdr:row>59</xdr:row>
      <xdr:rowOff>58269</xdr:rowOff>
    </xdr:to>
    <xdr:graphicFrame macro="">
      <xdr:nvGraphicFramePr>
        <xdr:cNvPr id="8" name="Γράφημα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3810</xdr:rowOff>
    </xdr:from>
    <xdr:to>
      <xdr:col>21</xdr:col>
      <xdr:colOff>441960</xdr:colOff>
      <xdr:row>10</xdr:row>
      <xdr:rowOff>38100</xdr:rowOff>
    </xdr:to>
    <xdr:graphicFrame macro="">
      <xdr:nvGraphicFramePr>
        <xdr:cNvPr id="2" name="Γράφημα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556260</xdr:colOff>
      <xdr:row>11</xdr:row>
      <xdr:rowOff>60960</xdr:rowOff>
    </xdr:from>
    <xdr:to>
      <xdr:col>22</xdr:col>
      <xdr:colOff>114300</xdr:colOff>
      <xdr:row>23</xdr:row>
      <xdr:rowOff>114300</xdr:rowOff>
    </xdr:to>
    <xdr:graphicFrame macro="">
      <xdr:nvGraphicFramePr>
        <xdr:cNvPr id="4" name="Γράφημα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50</xdr:row>
      <xdr:rowOff>53340</xdr:rowOff>
    </xdr:from>
    <xdr:to>
      <xdr:col>10</xdr:col>
      <xdr:colOff>106680</xdr:colOff>
      <xdr:row>64</xdr:row>
      <xdr:rowOff>144780</xdr:rowOff>
    </xdr:to>
    <xdr:graphicFrame macro="">
      <xdr:nvGraphicFramePr>
        <xdr:cNvPr id="6" name="Γράφημα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</xdr:colOff>
      <xdr:row>50</xdr:row>
      <xdr:rowOff>175260</xdr:rowOff>
    </xdr:from>
    <xdr:to>
      <xdr:col>20</xdr:col>
      <xdr:colOff>396240</xdr:colOff>
      <xdr:row>68</xdr:row>
      <xdr:rowOff>91440</xdr:rowOff>
    </xdr:to>
    <xdr:graphicFrame macro="">
      <xdr:nvGraphicFramePr>
        <xdr:cNvPr id="8" name="Γράφημα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"/>
  <sheetViews>
    <sheetView zoomScale="85" zoomScaleNormal="85" workbookViewId="0">
      <selection activeCell="L19" sqref="L19"/>
    </sheetView>
  </sheetViews>
  <sheetFormatPr defaultRowHeight="14.4" x14ac:dyDescent="0.3"/>
  <cols>
    <col min="12" max="12" width="9.6640625" bestFit="1" customWidth="1"/>
    <col min="14" max="14" width="10" bestFit="1" customWidth="1"/>
    <col min="17" max="17" width="9.21875" bestFit="1" customWidth="1"/>
  </cols>
  <sheetData>
    <row r="1" spans="1:18" x14ac:dyDescent="0.3">
      <c r="A1" t="s">
        <v>0</v>
      </c>
      <c r="B1">
        <v>6</v>
      </c>
    </row>
    <row r="2" spans="1:18" x14ac:dyDescent="0.3">
      <c r="A2" t="s">
        <v>1</v>
      </c>
      <c r="B2">
        <v>175</v>
      </c>
      <c r="C2" t="s">
        <v>2</v>
      </c>
      <c r="P2" t="s">
        <v>19</v>
      </c>
      <c r="Q2" s="1">
        <f>AVERAGE(D6:K17)</f>
        <v>3.3468749999999994</v>
      </c>
      <c r="R2" t="s">
        <v>20</v>
      </c>
    </row>
    <row r="3" spans="1:18" x14ac:dyDescent="0.3">
      <c r="A3" t="s">
        <v>3</v>
      </c>
      <c r="B3">
        <v>3.22</v>
      </c>
      <c r="C3" t="s">
        <v>4</v>
      </c>
      <c r="P3" t="s">
        <v>18</v>
      </c>
      <c r="Q3" s="1">
        <f>Q2*8760*3600/1000000</f>
        <v>105.54704999999998</v>
      </c>
      <c r="R3" t="s">
        <v>21</v>
      </c>
    </row>
    <row r="4" spans="1:18" x14ac:dyDescent="0.3">
      <c r="A4" t="s">
        <v>5</v>
      </c>
      <c r="B4">
        <v>4</v>
      </c>
    </row>
    <row r="5" spans="1:18" x14ac:dyDescent="0.3">
      <c r="D5">
        <v>1</v>
      </c>
      <c r="E5">
        <v>2</v>
      </c>
      <c r="F5">
        <v>3</v>
      </c>
      <c r="G5">
        <v>4</v>
      </c>
      <c r="H5">
        <v>5</v>
      </c>
      <c r="I5">
        <v>6</v>
      </c>
      <c r="J5">
        <v>7</v>
      </c>
      <c r="K5">
        <v>8</v>
      </c>
      <c r="L5" t="s">
        <v>22</v>
      </c>
    </row>
    <row r="6" spans="1:18" x14ac:dyDescent="0.3">
      <c r="C6" t="s">
        <v>6</v>
      </c>
      <c r="D6">
        <v>0.7</v>
      </c>
      <c r="E6">
        <v>2.2000000000000002</v>
      </c>
      <c r="F6">
        <v>5.2</v>
      </c>
      <c r="G6">
        <v>2</v>
      </c>
      <c r="H6">
        <v>2.1</v>
      </c>
      <c r="I6">
        <v>1.4</v>
      </c>
      <c r="J6">
        <v>1.4</v>
      </c>
      <c r="K6">
        <v>0.9</v>
      </c>
      <c r="L6" s="1">
        <f>AVERAGE(D6:K6)</f>
        <v>1.9875000000000003</v>
      </c>
    </row>
    <row r="7" spans="1:18" x14ac:dyDescent="0.3">
      <c r="C7" t="s">
        <v>7</v>
      </c>
      <c r="D7">
        <v>3.3</v>
      </c>
      <c r="E7">
        <v>4.5</v>
      </c>
      <c r="F7">
        <v>4</v>
      </c>
      <c r="G7">
        <v>3.1</v>
      </c>
      <c r="H7">
        <v>3.6</v>
      </c>
      <c r="I7">
        <v>3</v>
      </c>
      <c r="J7">
        <v>3.1</v>
      </c>
      <c r="K7">
        <v>2.7</v>
      </c>
      <c r="L7" s="1">
        <f t="shared" ref="L7:L17" si="0">AVERAGE(D7:K7)</f>
        <v>3.4125000000000001</v>
      </c>
    </row>
    <row r="8" spans="1:18" x14ac:dyDescent="0.3">
      <c r="C8" t="s">
        <v>8</v>
      </c>
      <c r="D8">
        <v>2.7</v>
      </c>
      <c r="E8">
        <v>9.6</v>
      </c>
      <c r="F8">
        <v>12.3</v>
      </c>
      <c r="G8">
        <v>7</v>
      </c>
      <c r="H8">
        <v>6.7</v>
      </c>
      <c r="I8">
        <v>5.8</v>
      </c>
      <c r="J8">
        <v>4</v>
      </c>
      <c r="K8">
        <v>4.3</v>
      </c>
      <c r="L8" s="1">
        <f t="shared" si="0"/>
        <v>6.55</v>
      </c>
    </row>
    <row r="9" spans="1:18" x14ac:dyDescent="0.3">
      <c r="C9" t="s">
        <v>9</v>
      </c>
      <c r="D9">
        <v>3.7</v>
      </c>
      <c r="E9">
        <v>3.4</v>
      </c>
      <c r="F9">
        <v>3.3</v>
      </c>
      <c r="G9">
        <v>6.5</v>
      </c>
      <c r="H9">
        <v>3.3</v>
      </c>
      <c r="I9">
        <v>4.5999999999999996</v>
      </c>
      <c r="J9">
        <v>4.2</v>
      </c>
      <c r="K9">
        <v>3.6</v>
      </c>
      <c r="L9" s="1">
        <f t="shared" si="0"/>
        <v>4.0749999999999993</v>
      </c>
    </row>
    <row r="10" spans="1:18" x14ac:dyDescent="0.3">
      <c r="C10" t="s">
        <v>10</v>
      </c>
      <c r="D10">
        <v>7</v>
      </c>
      <c r="E10">
        <v>6.1</v>
      </c>
      <c r="F10">
        <v>4.5</v>
      </c>
      <c r="G10">
        <v>5.2</v>
      </c>
      <c r="H10">
        <v>6.3</v>
      </c>
      <c r="I10">
        <v>5.9</v>
      </c>
      <c r="J10">
        <v>6.3</v>
      </c>
      <c r="K10">
        <v>7</v>
      </c>
      <c r="L10" s="1">
        <f t="shared" si="0"/>
        <v>6.0374999999999996</v>
      </c>
    </row>
    <row r="11" spans="1:18" x14ac:dyDescent="0.3">
      <c r="C11" t="s">
        <v>11</v>
      </c>
      <c r="D11">
        <v>4.3</v>
      </c>
      <c r="E11">
        <v>4.5</v>
      </c>
      <c r="F11">
        <v>3.6</v>
      </c>
      <c r="G11">
        <v>4.3</v>
      </c>
      <c r="H11">
        <v>3.7</v>
      </c>
      <c r="I11">
        <v>4.4000000000000004</v>
      </c>
      <c r="J11">
        <v>3.9</v>
      </c>
      <c r="K11">
        <v>4</v>
      </c>
      <c r="L11" s="1">
        <f t="shared" si="0"/>
        <v>4.0874999999999995</v>
      </c>
    </row>
    <row r="12" spans="1:18" x14ac:dyDescent="0.3">
      <c r="C12" t="s">
        <v>12</v>
      </c>
      <c r="D12">
        <v>4.4000000000000004</v>
      </c>
      <c r="E12">
        <v>3.5</v>
      </c>
      <c r="F12">
        <v>2.2999999999999998</v>
      </c>
      <c r="G12">
        <v>3.4</v>
      </c>
      <c r="H12">
        <v>2.5</v>
      </c>
      <c r="I12">
        <v>3.5</v>
      </c>
      <c r="J12">
        <v>2.4</v>
      </c>
      <c r="K12">
        <v>2.7</v>
      </c>
      <c r="L12" s="1">
        <f t="shared" si="0"/>
        <v>3.0874999999999999</v>
      </c>
    </row>
    <row r="13" spans="1:18" x14ac:dyDescent="0.3">
      <c r="C13" t="s">
        <v>13</v>
      </c>
      <c r="D13">
        <v>2.2000000000000002</v>
      </c>
      <c r="E13">
        <v>2.8</v>
      </c>
      <c r="F13">
        <v>3.5</v>
      </c>
      <c r="G13">
        <v>2.6</v>
      </c>
      <c r="H13">
        <v>2</v>
      </c>
      <c r="I13">
        <v>2.1</v>
      </c>
      <c r="J13">
        <v>1.8</v>
      </c>
      <c r="K13">
        <v>2.2000000000000002</v>
      </c>
      <c r="L13" s="1">
        <f t="shared" si="0"/>
        <v>2.4</v>
      </c>
    </row>
    <row r="14" spans="1:18" x14ac:dyDescent="0.3">
      <c r="C14" t="s">
        <v>14</v>
      </c>
      <c r="D14">
        <v>1.9</v>
      </c>
      <c r="E14">
        <v>1.3</v>
      </c>
      <c r="F14">
        <v>1.7</v>
      </c>
      <c r="G14">
        <v>1.7</v>
      </c>
      <c r="H14">
        <v>1.7</v>
      </c>
      <c r="I14">
        <v>1.2</v>
      </c>
      <c r="J14">
        <v>1.3</v>
      </c>
      <c r="K14">
        <v>1.9</v>
      </c>
      <c r="L14" s="15">
        <f t="shared" si="0"/>
        <v>1.5875000000000001</v>
      </c>
    </row>
    <row r="15" spans="1:18" x14ac:dyDescent="0.3">
      <c r="C15" t="s">
        <v>15</v>
      </c>
      <c r="D15">
        <v>2.5</v>
      </c>
      <c r="E15">
        <v>2.2999999999999998</v>
      </c>
      <c r="F15">
        <v>3</v>
      </c>
      <c r="G15">
        <v>2.7</v>
      </c>
      <c r="H15">
        <v>1.9</v>
      </c>
      <c r="I15">
        <v>2.1</v>
      </c>
      <c r="J15">
        <v>2.2000000000000002</v>
      </c>
      <c r="K15">
        <v>2.2999999999999998</v>
      </c>
      <c r="L15" s="16">
        <f t="shared" si="0"/>
        <v>2.375</v>
      </c>
    </row>
    <row r="16" spans="1:18" x14ac:dyDescent="0.3">
      <c r="C16" t="s">
        <v>16</v>
      </c>
      <c r="D16">
        <v>2.7</v>
      </c>
      <c r="E16">
        <v>2.2000000000000002</v>
      </c>
      <c r="F16">
        <v>2</v>
      </c>
      <c r="G16">
        <v>2.1</v>
      </c>
      <c r="H16">
        <v>2.1</v>
      </c>
      <c r="I16">
        <v>2</v>
      </c>
      <c r="J16">
        <v>1.9</v>
      </c>
      <c r="K16">
        <v>2.1</v>
      </c>
      <c r="L16" s="17">
        <f t="shared" si="0"/>
        <v>2.1375000000000002</v>
      </c>
    </row>
    <row r="17" spans="3:16" x14ac:dyDescent="0.3">
      <c r="C17" t="s">
        <v>17</v>
      </c>
      <c r="D17">
        <v>2.4</v>
      </c>
      <c r="E17">
        <v>2.4</v>
      </c>
      <c r="F17">
        <v>2.2000000000000002</v>
      </c>
      <c r="G17">
        <v>2.1</v>
      </c>
      <c r="H17">
        <v>2.2000000000000002</v>
      </c>
      <c r="I17">
        <v>2.4</v>
      </c>
      <c r="J17">
        <v>2.7</v>
      </c>
      <c r="K17">
        <v>3</v>
      </c>
      <c r="L17" s="1">
        <f t="shared" si="0"/>
        <v>2.4250000000000003</v>
      </c>
    </row>
    <row r="18" spans="3:16" x14ac:dyDescent="0.3">
      <c r="D18" s="1">
        <f>AVERAGE(D6:D17)</f>
        <v>3.1500000000000004</v>
      </c>
      <c r="E18" s="1">
        <f t="shared" ref="E18:K18" si="1">AVERAGE(E6:E17)</f>
        <v>3.7333333333333325</v>
      </c>
      <c r="F18" s="4">
        <f t="shared" si="1"/>
        <v>3.9666666666666668</v>
      </c>
      <c r="G18" s="1">
        <f t="shared" si="1"/>
        <v>3.558333333333334</v>
      </c>
      <c r="H18" s="1">
        <f t="shared" si="1"/>
        <v>3.1750000000000003</v>
      </c>
      <c r="I18" s="1">
        <f t="shared" si="1"/>
        <v>3.1999999999999997</v>
      </c>
      <c r="J18" s="3">
        <f t="shared" si="1"/>
        <v>2.9333333333333336</v>
      </c>
      <c r="K18" s="1">
        <f t="shared" si="1"/>
        <v>3.0583333333333331</v>
      </c>
    </row>
    <row r="23" spans="3:16" x14ac:dyDescent="0.3">
      <c r="F23" t="s">
        <v>23</v>
      </c>
    </row>
    <row r="24" spans="3:16" x14ac:dyDescent="0.3">
      <c r="E24" t="s">
        <v>24</v>
      </c>
      <c r="F24" s="6">
        <f>1/(8*12)</f>
        <v>1.0416666666666666E-2</v>
      </c>
      <c r="G24" s="6" t="s">
        <v>26</v>
      </c>
      <c r="H24" t="s">
        <v>34</v>
      </c>
      <c r="K24" t="s">
        <v>25</v>
      </c>
      <c r="L24" s="12">
        <v>8.3333333333333301E-2</v>
      </c>
      <c r="M24" t="s">
        <v>27</v>
      </c>
    </row>
    <row r="25" spans="3:16" x14ac:dyDescent="0.3">
      <c r="D25">
        <v>0.7</v>
      </c>
      <c r="E25">
        <v>12.3</v>
      </c>
      <c r="F25" s="6">
        <f>$F$24</f>
        <v>1.0416666666666666E-2</v>
      </c>
      <c r="G25" s="5">
        <f>F25</f>
        <v>1.0416666666666666E-2</v>
      </c>
      <c r="H25" s="14">
        <f>E25-$O$35</f>
        <v>11.690000000000001</v>
      </c>
      <c r="J25" s="1">
        <v>1.9875000000000003</v>
      </c>
      <c r="K25" s="1">
        <v>6.55</v>
      </c>
      <c r="L25" s="13">
        <f>$L$24</f>
        <v>8.3333333333333301E-2</v>
      </c>
      <c r="M25" s="13">
        <f>L25</f>
        <v>8.3333333333333301E-2</v>
      </c>
    </row>
    <row r="26" spans="3:16" x14ac:dyDescent="0.3">
      <c r="D26">
        <v>3.3</v>
      </c>
      <c r="E26">
        <v>9.6</v>
      </c>
      <c r="F26" s="6">
        <f t="shared" ref="F26:F89" si="2">$F$24</f>
        <v>1.0416666666666666E-2</v>
      </c>
      <c r="G26" s="5">
        <f>G25+F26</f>
        <v>2.0833333333333332E-2</v>
      </c>
      <c r="H26" s="14">
        <f t="shared" ref="H26:H89" si="3">E26-$O$35</f>
        <v>8.99</v>
      </c>
      <c r="J26" s="1">
        <v>3.4125000000000001</v>
      </c>
      <c r="K26" s="1">
        <v>6.0374999999999996</v>
      </c>
      <c r="L26" s="13">
        <f>$L$24</f>
        <v>8.3333333333333301E-2</v>
      </c>
      <c r="M26" s="13">
        <f>M25+L26</f>
        <v>0.1666666666666666</v>
      </c>
    </row>
    <row r="27" spans="3:16" x14ac:dyDescent="0.3">
      <c r="D27">
        <v>2.7</v>
      </c>
      <c r="E27">
        <v>7</v>
      </c>
      <c r="F27" s="6">
        <f t="shared" si="2"/>
        <v>1.0416666666666666E-2</v>
      </c>
      <c r="G27" s="5">
        <f t="shared" ref="G27:G90" si="4">G26+F27</f>
        <v>3.125E-2</v>
      </c>
      <c r="H27" s="14">
        <f t="shared" si="3"/>
        <v>6.39</v>
      </c>
      <c r="J27" s="1">
        <v>6.55</v>
      </c>
      <c r="K27" s="1">
        <v>4.0874999999999995</v>
      </c>
      <c r="L27" s="13">
        <f>$L$24</f>
        <v>8.3333333333333301E-2</v>
      </c>
      <c r="M27" s="13">
        <f t="shared" ref="M27:M36" si="5">M26+L27</f>
        <v>0.24999999999999989</v>
      </c>
    </row>
    <row r="28" spans="3:16" x14ac:dyDescent="0.3">
      <c r="D28">
        <v>3.7</v>
      </c>
      <c r="E28">
        <v>7</v>
      </c>
      <c r="F28" s="6">
        <f t="shared" si="2"/>
        <v>1.0416666666666666E-2</v>
      </c>
      <c r="G28" s="5">
        <f t="shared" si="4"/>
        <v>4.1666666666666664E-2</v>
      </c>
      <c r="H28" s="14">
        <f t="shared" si="3"/>
        <v>6.39</v>
      </c>
      <c r="J28" s="1">
        <v>4.0749999999999993</v>
      </c>
      <c r="K28" s="1">
        <v>4.0749999999999993</v>
      </c>
      <c r="L28" s="13">
        <f>$L$24</f>
        <v>8.3333333333333301E-2</v>
      </c>
      <c r="M28" s="13">
        <f t="shared" si="5"/>
        <v>0.3333333333333332</v>
      </c>
      <c r="O28" t="s">
        <v>28</v>
      </c>
      <c r="P28">
        <f>E25</f>
        <v>12.3</v>
      </c>
    </row>
    <row r="29" spans="3:16" x14ac:dyDescent="0.3">
      <c r="D29">
        <v>7</v>
      </c>
      <c r="E29">
        <v>7</v>
      </c>
      <c r="F29" s="6">
        <f t="shared" si="2"/>
        <v>1.0416666666666666E-2</v>
      </c>
      <c r="G29" s="5">
        <f t="shared" si="4"/>
        <v>5.2083333333333329E-2</v>
      </c>
      <c r="H29" s="14">
        <f t="shared" si="3"/>
        <v>6.39</v>
      </c>
      <c r="J29" s="1">
        <v>6.0374999999999996</v>
      </c>
      <c r="K29" s="1">
        <v>3.4125000000000001</v>
      </c>
      <c r="L29" s="13">
        <f>$L$24</f>
        <v>8.3333333333333301E-2</v>
      </c>
      <c r="M29" s="13">
        <f t="shared" si="5"/>
        <v>0.41666666666666652</v>
      </c>
      <c r="O29" t="s">
        <v>29</v>
      </c>
      <c r="P29">
        <f>E53</f>
        <v>3.7</v>
      </c>
    </row>
    <row r="30" spans="3:16" x14ac:dyDescent="0.3">
      <c r="D30">
        <v>4.3</v>
      </c>
      <c r="E30">
        <v>6.7</v>
      </c>
      <c r="F30" s="6">
        <f t="shared" si="2"/>
        <v>1.0416666666666666E-2</v>
      </c>
      <c r="G30" s="5">
        <f t="shared" si="4"/>
        <v>6.2499999999999993E-2</v>
      </c>
      <c r="H30" s="14">
        <f t="shared" si="3"/>
        <v>6.09</v>
      </c>
      <c r="J30" s="1">
        <v>4.0874999999999995</v>
      </c>
      <c r="K30" s="1">
        <v>3.0874999999999999</v>
      </c>
      <c r="L30" s="13">
        <f>$L$24</f>
        <v>8.3333333333333301E-2</v>
      </c>
      <c r="M30" s="13">
        <f t="shared" si="5"/>
        <v>0.49999999999999983</v>
      </c>
      <c r="O30" t="s">
        <v>30</v>
      </c>
      <c r="P30">
        <f>E72</f>
        <v>2.7</v>
      </c>
    </row>
    <row r="31" spans="3:16" x14ac:dyDescent="0.3">
      <c r="D31">
        <v>4.4000000000000004</v>
      </c>
      <c r="E31">
        <v>6.5</v>
      </c>
      <c r="F31" s="6">
        <f t="shared" si="2"/>
        <v>1.0416666666666666E-2</v>
      </c>
      <c r="G31" s="5">
        <f t="shared" si="4"/>
        <v>7.2916666666666657E-2</v>
      </c>
      <c r="H31" s="14">
        <f t="shared" si="3"/>
        <v>5.89</v>
      </c>
      <c r="J31" s="1">
        <v>3.0874999999999999</v>
      </c>
      <c r="K31" s="1">
        <v>2.4250000000000003</v>
      </c>
      <c r="L31" s="13">
        <f>$L$24</f>
        <v>8.3333333333333301E-2</v>
      </c>
      <c r="M31" s="13">
        <f t="shared" si="5"/>
        <v>0.58333333333333315</v>
      </c>
      <c r="O31" t="s">
        <v>31</v>
      </c>
      <c r="P31">
        <f>E120</f>
        <v>0.7</v>
      </c>
    </row>
    <row r="32" spans="3:16" x14ac:dyDescent="0.3">
      <c r="D32">
        <v>2.2000000000000002</v>
      </c>
      <c r="E32">
        <v>6.3</v>
      </c>
      <c r="F32" s="6">
        <f t="shared" si="2"/>
        <v>1.0416666666666666E-2</v>
      </c>
      <c r="G32" s="5">
        <f t="shared" si="4"/>
        <v>8.3333333333333329E-2</v>
      </c>
      <c r="H32" s="14">
        <f t="shared" si="3"/>
        <v>5.6899999999999995</v>
      </c>
      <c r="J32" s="1">
        <v>2.4</v>
      </c>
      <c r="K32" s="1">
        <v>2.4</v>
      </c>
      <c r="L32" s="13">
        <f>$L$24</f>
        <v>8.3333333333333301E-2</v>
      </c>
      <c r="M32" s="13">
        <f t="shared" si="5"/>
        <v>0.66666666666666641</v>
      </c>
    </row>
    <row r="33" spans="4:16" x14ac:dyDescent="0.3">
      <c r="D33">
        <v>1.9</v>
      </c>
      <c r="E33">
        <v>6.3</v>
      </c>
      <c r="F33" s="6">
        <f t="shared" si="2"/>
        <v>1.0416666666666666E-2</v>
      </c>
      <c r="G33" s="5">
        <f t="shared" si="4"/>
        <v>9.375E-2</v>
      </c>
      <c r="H33" s="14">
        <f t="shared" si="3"/>
        <v>5.6899999999999995</v>
      </c>
      <c r="J33" s="1">
        <v>1.5875000000000001</v>
      </c>
      <c r="K33" s="1">
        <v>2.375</v>
      </c>
      <c r="L33" s="13">
        <f>$L$24</f>
        <v>8.3333333333333301E-2</v>
      </c>
      <c r="M33" s="13">
        <f t="shared" si="5"/>
        <v>0.74999999999999967</v>
      </c>
    </row>
    <row r="34" spans="4:16" x14ac:dyDescent="0.3">
      <c r="D34">
        <v>2.5</v>
      </c>
      <c r="E34">
        <v>6.1</v>
      </c>
      <c r="F34" s="6">
        <f t="shared" si="2"/>
        <v>1.0416666666666666E-2</v>
      </c>
      <c r="G34" s="5">
        <f t="shared" si="4"/>
        <v>0.10416666666666667</v>
      </c>
      <c r="H34" s="14">
        <f t="shared" si="3"/>
        <v>5.4899999999999993</v>
      </c>
      <c r="J34" s="1">
        <v>2.375</v>
      </c>
      <c r="K34" s="1">
        <v>2.1375000000000002</v>
      </c>
      <c r="L34" s="13">
        <f>$L$24</f>
        <v>8.3333333333333301E-2</v>
      </c>
      <c r="M34" s="13">
        <f t="shared" si="5"/>
        <v>0.83333333333333293</v>
      </c>
      <c r="O34" t="s">
        <v>32</v>
      </c>
    </row>
    <row r="35" spans="4:16" x14ac:dyDescent="0.3">
      <c r="D35">
        <v>2.7</v>
      </c>
      <c r="E35">
        <v>5.9</v>
      </c>
      <c r="F35" s="6">
        <f t="shared" si="2"/>
        <v>1.0416666666666666E-2</v>
      </c>
      <c r="G35" s="5">
        <f t="shared" si="4"/>
        <v>0.11458333333333334</v>
      </c>
      <c r="H35" s="14">
        <f t="shared" si="3"/>
        <v>5.29</v>
      </c>
      <c r="J35" s="1">
        <v>2.1375000000000002</v>
      </c>
      <c r="K35" s="1">
        <v>1.9875000000000003</v>
      </c>
      <c r="L35" s="13">
        <f>$L$24</f>
        <v>8.3333333333333301E-2</v>
      </c>
      <c r="M35" s="13">
        <f t="shared" si="5"/>
        <v>0.91666666666666619</v>
      </c>
      <c r="O35" s="14">
        <f>0.3*AVERAGE(L14:L16)</f>
        <v>0.6100000000000001</v>
      </c>
      <c r="P35" t="s">
        <v>33</v>
      </c>
    </row>
    <row r="36" spans="4:16" x14ac:dyDescent="0.3">
      <c r="D36">
        <v>2.4</v>
      </c>
      <c r="E36">
        <v>5.8</v>
      </c>
      <c r="F36" s="6">
        <f t="shared" si="2"/>
        <v>1.0416666666666666E-2</v>
      </c>
      <c r="G36" s="5">
        <f t="shared" si="4"/>
        <v>0.125</v>
      </c>
      <c r="H36" s="14">
        <f t="shared" si="3"/>
        <v>5.1899999999999995</v>
      </c>
      <c r="J36" s="1">
        <v>2.4250000000000003</v>
      </c>
      <c r="K36" s="1">
        <v>1.5875000000000001</v>
      </c>
      <c r="L36" s="13">
        <f>$L$24</f>
        <v>8.3333333333333301E-2</v>
      </c>
      <c r="M36" s="13">
        <f t="shared" si="5"/>
        <v>0.99999999999999944</v>
      </c>
    </row>
    <row r="37" spans="4:16" x14ac:dyDescent="0.3">
      <c r="D37">
        <v>2.2000000000000002</v>
      </c>
      <c r="E37">
        <v>5.2</v>
      </c>
      <c r="F37" s="6">
        <f t="shared" si="2"/>
        <v>1.0416666666666666E-2</v>
      </c>
      <c r="G37" s="5">
        <f t="shared" si="4"/>
        <v>0.13541666666666666</v>
      </c>
      <c r="H37" s="14">
        <f t="shared" si="3"/>
        <v>4.59</v>
      </c>
    </row>
    <row r="38" spans="4:16" x14ac:dyDescent="0.3">
      <c r="D38">
        <v>4.5</v>
      </c>
      <c r="E38">
        <v>5.2</v>
      </c>
      <c r="F38" s="6">
        <f t="shared" si="2"/>
        <v>1.0416666666666666E-2</v>
      </c>
      <c r="G38" s="5">
        <f t="shared" si="4"/>
        <v>0.14583333333333331</v>
      </c>
      <c r="H38" s="14">
        <f t="shared" si="3"/>
        <v>4.59</v>
      </c>
    </row>
    <row r="39" spans="4:16" x14ac:dyDescent="0.3">
      <c r="D39">
        <v>9.6</v>
      </c>
      <c r="E39">
        <v>4.5999999999999996</v>
      </c>
      <c r="F39" s="6">
        <f t="shared" si="2"/>
        <v>1.0416666666666666E-2</v>
      </c>
      <c r="G39" s="5">
        <f t="shared" si="4"/>
        <v>0.15624999999999997</v>
      </c>
      <c r="H39" s="14">
        <f t="shared" si="3"/>
        <v>3.9899999999999993</v>
      </c>
    </row>
    <row r="40" spans="4:16" x14ac:dyDescent="0.3">
      <c r="D40">
        <v>3.4</v>
      </c>
      <c r="E40">
        <v>4.5</v>
      </c>
      <c r="F40" s="6">
        <f t="shared" si="2"/>
        <v>1.0416666666666666E-2</v>
      </c>
      <c r="G40" s="5">
        <f t="shared" si="4"/>
        <v>0.16666666666666663</v>
      </c>
      <c r="H40" s="14">
        <f t="shared" si="3"/>
        <v>3.8899999999999997</v>
      </c>
    </row>
    <row r="41" spans="4:16" x14ac:dyDescent="0.3">
      <c r="D41">
        <v>6.1</v>
      </c>
      <c r="E41">
        <v>4.5</v>
      </c>
      <c r="F41" s="6">
        <f t="shared" si="2"/>
        <v>1.0416666666666666E-2</v>
      </c>
      <c r="G41" s="5">
        <f t="shared" si="4"/>
        <v>0.17708333333333329</v>
      </c>
      <c r="H41" s="14">
        <f t="shared" si="3"/>
        <v>3.8899999999999997</v>
      </c>
    </row>
    <row r="42" spans="4:16" x14ac:dyDescent="0.3">
      <c r="D42">
        <v>4.5</v>
      </c>
      <c r="E42">
        <v>4.5</v>
      </c>
      <c r="F42" s="6">
        <f t="shared" si="2"/>
        <v>1.0416666666666666E-2</v>
      </c>
      <c r="G42" s="5">
        <f t="shared" si="4"/>
        <v>0.18749999999999994</v>
      </c>
      <c r="H42" s="14">
        <f t="shared" si="3"/>
        <v>3.8899999999999997</v>
      </c>
    </row>
    <row r="43" spans="4:16" x14ac:dyDescent="0.3">
      <c r="D43">
        <v>3.5</v>
      </c>
      <c r="E43">
        <v>4.4000000000000004</v>
      </c>
      <c r="F43" s="6">
        <f t="shared" si="2"/>
        <v>1.0416666666666666E-2</v>
      </c>
      <c r="G43" s="5">
        <f t="shared" si="4"/>
        <v>0.1979166666666666</v>
      </c>
      <c r="H43" s="14">
        <f t="shared" si="3"/>
        <v>3.79</v>
      </c>
    </row>
    <row r="44" spans="4:16" x14ac:dyDescent="0.3">
      <c r="D44">
        <v>2.8</v>
      </c>
      <c r="E44">
        <v>4.4000000000000004</v>
      </c>
      <c r="F44" s="6">
        <f t="shared" si="2"/>
        <v>1.0416666666666666E-2</v>
      </c>
      <c r="G44" s="5">
        <f t="shared" si="4"/>
        <v>0.20833333333333326</v>
      </c>
      <c r="H44" s="14">
        <f t="shared" si="3"/>
        <v>3.79</v>
      </c>
    </row>
    <row r="45" spans="4:16" x14ac:dyDescent="0.3">
      <c r="D45">
        <v>1.3</v>
      </c>
      <c r="E45">
        <v>4.3</v>
      </c>
      <c r="F45" s="6">
        <f t="shared" si="2"/>
        <v>1.0416666666666666E-2</v>
      </c>
      <c r="G45" s="5">
        <f t="shared" si="4"/>
        <v>0.21874999999999992</v>
      </c>
      <c r="H45" s="14">
        <f t="shared" si="3"/>
        <v>3.6899999999999995</v>
      </c>
    </row>
    <row r="46" spans="4:16" x14ac:dyDescent="0.3">
      <c r="D46">
        <v>2.2999999999999998</v>
      </c>
      <c r="E46">
        <v>4.3</v>
      </c>
      <c r="F46" s="6">
        <f t="shared" si="2"/>
        <v>1.0416666666666666E-2</v>
      </c>
      <c r="G46" s="5">
        <f t="shared" si="4"/>
        <v>0.22916666666666657</v>
      </c>
      <c r="H46" s="14">
        <f t="shared" si="3"/>
        <v>3.6899999999999995</v>
      </c>
    </row>
    <row r="47" spans="4:16" x14ac:dyDescent="0.3">
      <c r="D47">
        <v>2.2000000000000002</v>
      </c>
      <c r="E47">
        <v>4.3</v>
      </c>
      <c r="F47" s="6">
        <f t="shared" si="2"/>
        <v>1.0416666666666666E-2</v>
      </c>
      <c r="G47" s="5">
        <f t="shared" si="4"/>
        <v>0.23958333333333323</v>
      </c>
      <c r="H47" s="14">
        <f t="shared" si="3"/>
        <v>3.6899999999999995</v>
      </c>
    </row>
    <row r="48" spans="4:16" x14ac:dyDescent="0.3">
      <c r="D48">
        <v>2.4</v>
      </c>
      <c r="E48">
        <v>4.2</v>
      </c>
      <c r="F48" s="6">
        <f t="shared" si="2"/>
        <v>1.0416666666666666E-2</v>
      </c>
      <c r="G48" s="5">
        <f t="shared" si="4"/>
        <v>0.24999999999999989</v>
      </c>
      <c r="H48" s="14">
        <f t="shared" si="3"/>
        <v>3.59</v>
      </c>
    </row>
    <row r="49" spans="4:8" x14ac:dyDescent="0.3">
      <c r="D49">
        <v>5.2</v>
      </c>
      <c r="E49">
        <v>4</v>
      </c>
      <c r="F49" s="6">
        <f t="shared" si="2"/>
        <v>1.0416666666666666E-2</v>
      </c>
      <c r="G49" s="5">
        <f t="shared" si="4"/>
        <v>0.26041666666666657</v>
      </c>
      <c r="H49" s="14">
        <f t="shared" si="3"/>
        <v>3.3899999999999997</v>
      </c>
    </row>
    <row r="50" spans="4:8" x14ac:dyDescent="0.3">
      <c r="D50">
        <v>4</v>
      </c>
      <c r="E50">
        <v>4</v>
      </c>
      <c r="F50" s="6">
        <f t="shared" si="2"/>
        <v>1.0416666666666666E-2</v>
      </c>
      <c r="G50" s="5">
        <f t="shared" si="4"/>
        <v>0.27083333333333326</v>
      </c>
      <c r="H50" s="14">
        <f t="shared" si="3"/>
        <v>3.3899999999999997</v>
      </c>
    </row>
    <row r="51" spans="4:8" x14ac:dyDescent="0.3">
      <c r="D51">
        <v>12.3</v>
      </c>
      <c r="E51">
        <v>4</v>
      </c>
      <c r="F51" s="6">
        <f t="shared" si="2"/>
        <v>1.0416666666666666E-2</v>
      </c>
      <c r="G51" s="5">
        <f t="shared" si="4"/>
        <v>0.28124999999999994</v>
      </c>
      <c r="H51" s="14">
        <f t="shared" si="3"/>
        <v>3.3899999999999997</v>
      </c>
    </row>
    <row r="52" spans="4:8" x14ac:dyDescent="0.3">
      <c r="D52">
        <v>3.3</v>
      </c>
      <c r="E52">
        <v>3.9</v>
      </c>
      <c r="F52" s="6">
        <f t="shared" si="2"/>
        <v>1.0416666666666666E-2</v>
      </c>
      <c r="G52" s="5">
        <f t="shared" si="4"/>
        <v>0.29166666666666663</v>
      </c>
      <c r="H52" s="14">
        <f t="shared" si="3"/>
        <v>3.29</v>
      </c>
    </row>
    <row r="53" spans="4:8" x14ac:dyDescent="0.3">
      <c r="D53">
        <v>4.5</v>
      </c>
      <c r="E53">
        <v>3.7</v>
      </c>
      <c r="F53" s="6">
        <f t="shared" si="2"/>
        <v>1.0416666666666666E-2</v>
      </c>
      <c r="G53" s="5">
        <f t="shared" si="4"/>
        <v>0.30208333333333331</v>
      </c>
      <c r="H53" s="14">
        <f t="shared" si="3"/>
        <v>3.09</v>
      </c>
    </row>
    <row r="54" spans="4:8" x14ac:dyDescent="0.3">
      <c r="D54">
        <v>3.6</v>
      </c>
      <c r="E54">
        <v>3.7</v>
      </c>
      <c r="F54" s="6">
        <f t="shared" si="2"/>
        <v>1.0416666666666666E-2</v>
      </c>
      <c r="G54" s="5">
        <f t="shared" si="4"/>
        <v>0.3125</v>
      </c>
      <c r="H54" s="14">
        <f t="shared" si="3"/>
        <v>3.09</v>
      </c>
    </row>
    <row r="55" spans="4:8" x14ac:dyDescent="0.3">
      <c r="D55">
        <v>2.2999999999999998</v>
      </c>
      <c r="E55">
        <v>3.6</v>
      </c>
      <c r="F55" s="6">
        <f t="shared" si="2"/>
        <v>1.0416666666666666E-2</v>
      </c>
      <c r="G55" s="5">
        <f t="shared" si="4"/>
        <v>0.32291666666666669</v>
      </c>
      <c r="H55" s="14">
        <f t="shared" si="3"/>
        <v>2.99</v>
      </c>
    </row>
    <row r="56" spans="4:8" x14ac:dyDescent="0.3">
      <c r="D56">
        <v>3.5</v>
      </c>
      <c r="E56">
        <v>3.6</v>
      </c>
      <c r="F56" s="6">
        <f t="shared" si="2"/>
        <v>1.0416666666666666E-2</v>
      </c>
      <c r="G56" s="5">
        <f t="shared" si="4"/>
        <v>0.33333333333333337</v>
      </c>
      <c r="H56" s="14">
        <f t="shared" si="3"/>
        <v>2.99</v>
      </c>
    </row>
    <row r="57" spans="4:8" x14ac:dyDescent="0.3">
      <c r="D57">
        <v>1.7</v>
      </c>
      <c r="E57">
        <v>3.6</v>
      </c>
      <c r="F57" s="6">
        <f t="shared" si="2"/>
        <v>1.0416666666666666E-2</v>
      </c>
      <c r="G57" s="5">
        <f t="shared" si="4"/>
        <v>0.34375000000000006</v>
      </c>
      <c r="H57" s="14">
        <f t="shared" si="3"/>
        <v>2.99</v>
      </c>
    </row>
    <row r="58" spans="4:8" x14ac:dyDescent="0.3">
      <c r="D58">
        <v>3</v>
      </c>
      <c r="E58">
        <v>3.5</v>
      </c>
      <c r="F58" s="6">
        <f t="shared" si="2"/>
        <v>1.0416666666666666E-2</v>
      </c>
      <c r="G58" s="5">
        <f t="shared" si="4"/>
        <v>0.35416666666666674</v>
      </c>
      <c r="H58" s="14">
        <f t="shared" si="3"/>
        <v>2.8899999999999997</v>
      </c>
    </row>
    <row r="59" spans="4:8" x14ac:dyDescent="0.3">
      <c r="D59">
        <v>2</v>
      </c>
      <c r="E59">
        <v>3.5</v>
      </c>
      <c r="F59" s="6">
        <f t="shared" si="2"/>
        <v>1.0416666666666666E-2</v>
      </c>
      <c r="G59" s="5">
        <f t="shared" si="4"/>
        <v>0.36458333333333343</v>
      </c>
      <c r="H59" s="14">
        <f t="shared" si="3"/>
        <v>2.8899999999999997</v>
      </c>
    </row>
    <row r="60" spans="4:8" x14ac:dyDescent="0.3">
      <c r="D60">
        <v>2.2000000000000002</v>
      </c>
      <c r="E60">
        <v>3.5</v>
      </c>
      <c r="F60" s="6">
        <f t="shared" si="2"/>
        <v>1.0416666666666666E-2</v>
      </c>
      <c r="G60" s="5">
        <f t="shared" si="4"/>
        <v>0.37500000000000011</v>
      </c>
      <c r="H60" s="14">
        <f t="shared" si="3"/>
        <v>2.8899999999999997</v>
      </c>
    </row>
    <row r="61" spans="4:8" x14ac:dyDescent="0.3">
      <c r="D61">
        <v>2</v>
      </c>
      <c r="E61">
        <v>3.4</v>
      </c>
      <c r="F61" s="6">
        <f t="shared" si="2"/>
        <v>1.0416666666666666E-2</v>
      </c>
      <c r="G61" s="5">
        <f t="shared" si="4"/>
        <v>0.3854166666666668</v>
      </c>
      <c r="H61" s="14">
        <f t="shared" si="3"/>
        <v>2.79</v>
      </c>
    </row>
    <row r="62" spans="4:8" x14ac:dyDescent="0.3">
      <c r="D62">
        <v>3.1</v>
      </c>
      <c r="E62">
        <v>3.4</v>
      </c>
      <c r="F62" s="6">
        <f t="shared" si="2"/>
        <v>1.0416666666666666E-2</v>
      </c>
      <c r="G62" s="5">
        <f t="shared" si="4"/>
        <v>0.39583333333333348</v>
      </c>
      <c r="H62" s="14">
        <f t="shared" si="3"/>
        <v>2.79</v>
      </c>
    </row>
    <row r="63" spans="4:8" x14ac:dyDescent="0.3">
      <c r="D63">
        <v>7</v>
      </c>
      <c r="E63">
        <v>3.3</v>
      </c>
      <c r="F63" s="6">
        <f t="shared" si="2"/>
        <v>1.0416666666666666E-2</v>
      </c>
      <c r="G63" s="5">
        <f t="shared" si="4"/>
        <v>0.40625000000000017</v>
      </c>
      <c r="H63" s="14">
        <f t="shared" si="3"/>
        <v>2.6899999999999995</v>
      </c>
    </row>
    <row r="64" spans="4:8" x14ac:dyDescent="0.3">
      <c r="D64">
        <v>6.5</v>
      </c>
      <c r="E64">
        <v>3.3</v>
      </c>
      <c r="F64" s="6">
        <f t="shared" si="2"/>
        <v>1.0416666666666666E-2</v>
      </c>
      <c r="G64" s="5">
        <f t="shared" si="4"/>
        <v>0.41666666666666685</v>
      </c>
      <c r="H64" s="14">
        <f t="shared" si="3"/>
        <v>2.6899999999999995</v>
      </c>
    </row>
    <row r="65" spans="4:8" x14ac:dyDescent="0.3">
      <c r="D65">
        <v>5.2</v>
      </c>
      <c r="E65">
        <v>3.3</v>
      </c>
      <c r="F65" s="6">
        <f t="shared" si="2"/>
        <v>1.0416666666666666E-2</v>
      </c>
      <c r="G65" s="5">
        <f t="shared" si="4"/>
        <v>0.42708333333333354</v>
      </c>
      <c r="H65" s="14">
        <f t="shared" si="3"/>
        <v>2.6899999999999995</v>
      </c>
    </row>
    <row r="66" spans="4:8" x14ac:dyDescent="0.3">
      <c r="D66">
        <v>4.3</v>
      </c>
      <c r="E66">
        <v>3.1</v>
      </c>
      <c r="F66" s="6">
        <f t="shared" si="2"/>
        <v>1.0416666666666666E-2</v>
      </c>
      <c r="G66" s="5">
        <f t="shared" si="4"/>
        <v>0.43750000000000022</v>
      </c>
      <c r="H66" s="14">
        <f t="shared" si="3"/>
        <v>2.4900000000000002</v>
      </c>
    </row>
    <row r="67" spans="4:8" x14ac:dyDescent="0.3">
      <c r="D67">
        <v>3.4</v>
      </c>
      <c r="E67">
        <v>3.1</v>
      </c>
      <c r="F67" s="6">
        <f t="shared" si="2"/>
        <v>1.0416666666666666E-2</v>
      </c>
      <c r="G67" s="5">
        <f t="shared" si="4"/>
        <v>0.44791666666666691</v>
      </c>
      <c r="H67" s="14">
        <f t="shared" si="3"/>
        <v>2.4900000000000002</v>
      </c>
    </row>
    <row r="68" spans="4:8" x14ac:dyDescent="0.3">
      <c r="D68">
        <v>2.6</v>
      </c>
      <c r="E68">
        <v>3</v>
      </c>
      <c r="F68" s="6">
        <f t="shared" si="2"/>
        <v>1.0416666666666666E-2</v>
      </c>
      <c r="G68" s="5">
        <f t="shared" si="4"/>
        <v>0.45833333333333359</v>
      </c>
      <c r="H68" s="14">
        <f t="shared" si="3"/>
        <v>2.3899999999999997</v>
      </c>
    </row>
    <row r="69" spans="4:8" x14ac:dyDescent="0.3">
      <c r="D69">
        <v>1.7</v>
      </c>
      <c r="E69">
        <v>3</v>
      </c>
      <c r="F69" s="6">
        <f t="shared" si="2"/>
        <v>1.0416666666666666E-2</v>
      </c>
      <c r="G69" s="5">
        <f t="shared" si="4"/>
        <v>0.46875000000000028</v>
      </c>
      <c r="H69" s="14">
        <f t="shared" si="3"/>
        <v>2.3899999999999997</v>
      </c>
    </row>
    <row r="70" spans="4:8" x14ac:dyDescent="0.3">
      <c r="D70">
        <v>2.7</v>
      </c>
      <c r="E70">
        <v>3</v>
      </c>
      <c r="F70" s="6">
        <f t="shared" si="2"/>
        <v>1.0416666666666666E-2</v>
      </c>
      <c r="G70" s="5">
        <f t="shared" si="4"/>
        <v>0.47916666666666696</v>
      </c>
      <c r="H70" s="14">
        <f t="shared" si="3"/>
        <v>2.3899999999999997</v>
      </c>
    </row>
    <row r="71" spans="4:8" x14ac:dyDescent="0.3">
      <c r="D71">
        <v>2.1</v>
      </c>
      <c r="E71">
        <v>2.8</v>
      </c>
      <c r="F71" s="6">
        <f t="shared" si="2"/>
        <v>1.0416666666666666E-2</v>
      </c>
      <c r="G71" s="5">
        <f t="shared" si="4"/>
        <v>0.48958333333333365</v>
      </c>
      <c r="H71" s="14">
        <f t="shared" si="3"/>
        <v>2.1899999999999995</v>
      </c>
    </row>
    <row r="72" spans="4:8" x14ac:dyDescent="0.3">
      <c r="D72">
        <v>2.1</v>
      </c>
      <c r="E72">
        <v>2.7</v>
      </c>
      <c r="F72" s="6">
        <f t="shared" si="2"/>
        <v>1.0416666666666666E-2</v>
      </c>
      <c r="G72" s="5">
        <f t="shared" si="4"/>
        <v>0.50000000000000033</v>
      </c>
      <c r="H72" s="14">
        <f t="shared" si="3"/>
        <v>2.09</v>
      </c>
    </row>
    <row r="73" spans="4:8" x14ac:dyDescent="0.3">
      <c r="D73">
        <v>2.1</v>
      </c>
      <c r="E73">
        <v>2.7</v>
      </c>
      <c r="F73" s="6">
        <f t="shared" si="2"/>
        <v>1.0416666666666666E-2</v>
      </c>
      <c r="G73" s="5">
        <f t="shared" si="4"/>
        <v>0.51041666666666696</v>
      </c>
      <c r="H73" s="14">
        <f t="shared" si="3"/>
        <v>2.09</v>
      </c>
    </row>
    <row r="74" spans="4:8" x14ac:dyDescent="0.3">
      <c r="D74">
        <v>3.6</v>
      </c>
      <c r="E74">
        <v>2.7</v>
      </c>
      <c r="F74" s="6">
        <f t="shared" si="2"/>
        <v>1.0416666666666666E-2</v>
      </c>
      <c r="G74" s="5">
        <f t="shared" si="4"/>
        <v>0.52083333333333359</v>
      </c>
      <c r="H74" s="14">
        <f t="shared" si="3"/>
        <v>2.09</v>
      </c>
    </row>
    <row r="75" spans="4:8" x14ac:dyDescent="0.3">
      <c r="D75">
        <v>6.7</v>
      </c>
      <c r="E75">
        <v>2.7</v>
      </c>
      <c r="F75" s="6">
        <f t="shared" si="2"/>
        <v>1.0416666666666666E-2</v>
      </c>
      <c r="G75" s="5">
        <f t="shared" si="4"/>
        <v>0.53125000000000022</v>
      </c>
      <c r="H75" s="14">
        <f t="shared" si="3"/>
        <v>2.09</v>
      </c>
    </row>
    <row r="76" spans="4:8" x14ac:dyDescent="0.3">
      <c r="D76">
        <v>3.3</v>
      </c>
      <c r="E76">
        <v>2.7</v>
      </c>
      <c r="F76" s="6">
        <f t="shared" si="2"/>
        <v>1.0416666666666666E-2</v>
      </c>
      <c r="G76" s="5">
        <f t="shared" si="4"/>
        <v>0.54166666666666685</v>
      </c>
      <c r="H76" s="14">
        <f t="shared" si="3"/>
        <v>2.09</v>
      </c>
    </row>
    <row r="77" spans="4:8" x14ac:dyDescent="0.3">
      <c r="D77">
        <v>6.3</v>
      </c>
      <c r="E77">
        <v>2.7</v>
      </c>
      <c r="F77" s="6">
        <f t="shared" si="2"/>
        <v>1.0416666666666666E-2</v>
      </c>
      <c r="G77" s="5">
        <f t="shared" si="4"/>
        <v>0.55208333333333348</v>
      </c>
      <c r="H77" s="14">
        <f t="shared" si="3"/>
        <v>2.09</v>
      </c>
    </row>
    <row r="78" spans="4:8" x14ac:dyDescent="0.3">
      <c r="D78">
        <v>3.7</v>
      </c>
      <c r="E78">
        <v>2.6</v>
      </c>
      <c r="F78" s="6">
        <f t="shared" si="2"/>
        <v>1.0416666666666666E-2</v>
      </c>
      <c r="G78" s="5">
        <f t="shared" si="4"/>
        <v>0.56250000000000011</v>
      </c>
      <c r="H78" s="14">
        <f t="shared" si="3"/>
        <v>1.99</v>
      </c>
    </row>
    <row r="79" spans="4:8" x14ac:dyDescent="0.3">
      <c r="D79">
        <v>2.5</v>
      </c>
      <c r="E79">
        <v>2.5</v>
      </c>
      <c r="F79" s="6">
        <f t="shared" si="2"/>
        <v>1.0416666666666666E-2</v>
      </c>
      <c r="G79" s="5">
        <f t="shared" si="4"/>
        <v>0.57291666666666674</v>
      </c>
      <c r="H79" s="14">
        <f t="shared" si="3"/>
        <v>1.89</v>
      </c>
    </row>
    <row r="80" spans="4:8" x14ac:dyDescent="0.3">
      <c r="D80">
        <v>2</v>
      </c>
      <c r="E80">
        <v>2.5</v>
      </c>
      <c r="F80" s="6">
        <f t="shared" si="2"/>
        <v>1.0416666666666666E-2</v>
      </c>
      <c r="G80" s="5">
        <f t="shared" si="4"/>
        <v>0.58333333333333337</v>
      </c>
      <c r="H80" s="14">
        <f t="shared" si="3"/>
        <v>1.89</v>
      </c>
    </row>
    <row r="81" spans="4:8" x14ac:dyDescent="0.3">
      <c r="D81">
        <v>1.7</v>
      </c>
      <c r="E81">
        <v>2.4</v>
      </c>
      <c r="F81" s="6">
        <f t="shared" si="2"/>
        <v>1.0416666666666666E-2</v>
      </c>
      <c r="G81" s="5">
        <f t="shared" si="4"/>
        <v>0.59375</v>
      </c>
      <c r="H81" s="14">
        <f t="shared" si="3"/>
        <v>1.7899999999999998</v>
      </c>
    </row>
    <row r="82" spans="4:8" x14ac:dyDescent="0.3">
      <c r="D82">
        <v>1.9</v>
      </c>
      <c r="E82">
        <v>2.4</v>
      </c>
      <c r="F82" s="6">
        <f t="shared" si="2"/>
        <v>1.0416666666666666E-2</v>
      </c>
      <c r="G82" s="5">
        <f t="shared" si="4"/>
        <v>0.60416666666666663</v>
      </c>
      <c r="H82" s="14">
        <f t="shared" si="3"/>
        <v>1.7899999999999998</v>
      </c>
    </row>
    <row r="83" spans="4:8" x14ac:dyDescent="0.3">
      <c r="D83">
        <v>2.1</v>
      </c>
      <c r="E83">
        <v>2.4</v>
      </c>
      <c r="F83" s="6">
        <f t="shared" si="2"/>
        <v>1.0416666666666666E-2</v>
      </c>
      <c r="G83" s="5">
        <f t="shared" si="4"/>
        <v>0.61458333333333326</v>
      </c>
      <c r="H83" s="14">
        <f t="shared" si="3"/>
        <v>1.7899999999999998</v>
      </c>
    </row>
    <row r="84" spans="4:8" x14ac:dyDescent="0.3">
      <c r="D84">
        <v>2.2000000000000002</v>
      </c>
      <c r="E84">
        <v>2.4</v>
      </c>
      <c r="F84" s="6">
        <f t="shared" si="2"/>
        <v>1.0416666666666666E-2</v>
      </c>
      <c r="G84" s="5">
        <f t="shared" si="4"/>
        <v>0.62499999999999989</v>
      </c>
      <c r="H84" s="14">
        <f t="shared" si="3"/>
        <v>1.7899999999999998</v>
      </c>
    </row>
    <row r="85" spans="4:8" x14ac:dyDescent="0.3">
      <c r="D85">
        <v>1.4</v>
      </c>
      <c r="E85">
        <v>2.2999999999999998</v>
      </c>
      <c r="F85" s="6">
        <f t="shared" si="2"/>
        <v>1.0416666666666666E-2</v>
      </c>
      <c r="G85" s="5">
        <f t="shared" si="4"/>
        <v>0.63541666666666652</v>
      </c>
      <c r="H85" s="14">
        <f t="shared" si="3"/>
        <v>1.6899999999999997</v>
      </c>
    </row>
    <row r="86" spans="4:8" x14ac:dyDescent="0.3">
      <c r="D86">
        <v>3</v>
      </c>
      <c r="E86">
        <v>2.2999999999999998</v>
      </c>
      <c r="F86" s="6">
        <f t="shared" si="2"/>
        <v>1.0416666666666666E-2</v>
      </c>
      <c r="G86" s="5">
        <f t="shared" si="4"/>
        <v>0.64583333333333315</v>
      </c>
      <c r="H86" s="14">
        <f t="shared" si="3"/>
        <v>1.6899999999999997</v>
      </c>
    </row>
    <row r="87" spans="4:8" x14ac:dyDescent="0.3">
      <c r="D87">
        <v>5.8</v>
      </c>
      <c r="E87">
        <v>2.2999999999999998</v>
      </c>
      <c r="F87" s="6">
        <f t="shared" si="2"/>
        <v>1.0416666666666666E-2</v>
      </c>
      <c r="G87" s="5">
        <f t="shared" si="4"/>
        <v>0.65624999999999978</v>
      </c>
      <c r="H87" s="14">
        <f t="shared" si="3"/>
        <v>1.6899999999999997</v>
      </c>
    </row>
    <row r="88" spans="4:8" x14ac:dyDescent="0.3">
      <c r="D88">
        <v>4.5999999999999996</v>
      </c>
      <c r="E88">
        <v>2.2000000000000002</v>
      </c>
      <c r="F88" s="6">
        <f t="shared" si="2"/>
        <v>1.0416666666666666E-2</v>
      </c>
      <c r="G88" s="5">
        <f t="shared" si="4"/>
        <v>0.66666666666666641</v>
      </c>
      <c r="H88" s="14">
        <f t="shared" si="3"/>
        <v>1.59</v>
      </c>
    </row>
    <row r="89" spans="4:8" x14ac:dyDescent="0.3">
      <c r="D89">
        <v>5.9</v>
      </c>
      <c r="E89">
        <v>2.2000000000000002</v>
      </c>
      <c r="F89" s="6">
        <f t="shared" si="2"/>
        <v>1.0416666666666666E-2</v>
      </c>
      <c r="G89" s="5">
        <f t="shared" si="4"/>
        <v>0.67708333333333304</v>
      </c>
      <c r="H89" s="14">
        <f t="shared" si="3"/>
        <v>1.59</v>
      </c>
    </row>
    <row r="90" spans="4:8" x14ac:dyDescent="0.3">
      <c r="D90">
        <v>4.4000000000000004</v>
      </c>
      <c r="E90">
        <v>2.2000000000000002</v>
      </c>
      <c r="F90" s="6">
        <f t="shared" ref="F90:F120" si="6">$F$24</f>
        <v>1.0416666666666666E-2</v>
      </c>
      <c r="G90" s="5">
        <f t="shared" si="4"/>
        <v>0.68749999999999967</v>
      </c>
      <c r="H90" s="14">
        <f t="shared" ref="H90:H120" si="7">E90-$O$35</f>
        <v>1.59</v>
      </c>
    </row>
    <row r="91" spans="4:8" x14ac:dyDescent="0.3">
      <c r="D91">
        <v>3.5</v>
      </c>
      <c r="E91">
        <v>2.2000000000000002</v>
      </c>
      <c r="F91" s="6">
        <f t="shared" si="6"/>
        <v>1.0416666666666666E-2</v>
      </c>
      <c r="G91" s="5">
        <f t="shared" ref="G91:G120" si="8">G90+F91</f>
        <v>0.6979166666666663</v>
      </c>
      <c r="H91" s="14">
        <f t="shared" si="7"/>
        <v>1.59</v>
      </c>
    </row>
    <row r="92" spans="4:8" x14ac:dyDescent="0.3">
      <c r="D92">
        <v>2.1</v>
      </c>
      <c r="E92">
        <v>2.2000000000000002</v>
      </c>
      <c r="F92" s="6">
        <f t="shared" si="6"/>
        <v>1.0416666666666666E-2</v>
      </c>
      <c r="G92" s="5">
        <f t="shared" si="8"/>
        <v>0.70833333333333293</v>
      </c>
      <c r="H92" s="14">
        <f t="shared" si="7"/>
        <v>1.59</v>
      </c>
    </row>
    <row r="93" spans="4:8" x14ac:dyDescent="0.3">
      <c r="D93">
        <v>1.2</v>
      </c>
      <c r="E93">
        <v>2.2000000000000002</v>
      </c>
      <c r="F93" s="6">
        <f t="shared" si="6"/>
        <v>1.0416666666666666E-2</v>
      </c>
      <c r="G93" s="5">
        <f t="shared" si="8"/>
        <v>0.71874999999999956</v>
      </c>
      <c r="H93" s="14">
        <f t="shared" si="7"/>
        <v>1.59</v>
      </c>
    </row>
    <row r="94" spans="4:8" x14ac:dyDescent="0.3">
      <c r="D94">
        <v>2.1</v>
      </c>
      <c r="E94">
        <v>2.2000000000000002</v>
      </c>
      <c r="F94" s="6">
        <f t="shared" si="6"/>
        <v>1.0416666666666666E-2</v>
      </c>
      <c r="G94" s="5">
        <f t="shared" si="8"/>
        <v>0.72916666666666619</v>
      </c>
      <c r="H94" s="14">
        <f t="shared" si="7"/>
        <v>1.59</v>
      </c>
    </row>
    <row r="95" spans="4:8" x14ac:dyDescent="0.3">
      <c r="D95">
        <v>2</v>
      </c>
      <c r="E95">
        <v>2.1</v>
      </c>
      <c r="F95" s="6">
        <f t="shared" si="6"/>
        <v>1.0416666666666666E-2</v>
      </c>
      <c r="G95" s="5">
        <f t="shared" si="8"/>
        <v>0.73958333333333282</v>
      </c>
      <c r="H95" s="14">
        <f t="shared" si="7"/>
        <v>1.49</v>
      </c>
    </row>
    <row r="96" spans="4:8" x14ac:dyDescent="0.3">
      <c r="D96">
        <v>2.4</v>
      </c>
      <c r="E96">
        <v>2.1</v>
      </c>
      <c r="F96" s="6">
        <f t="shared" si="6"/>
        <v>1.0416666666666666E-2</v>
      </c>
      <c r="G96" s="5">
        <f t="shared" si="8"/>
        <v>0.74999999999999944</v>
      </c>
      <c r="H96" s="14">
        <f t="shared" si="7"/>
        <v>1.49</v>
      </c>
    </row>
    <row r="97" spans="4:8" x14ac:dyDescent="0.3">
      <c r="D97">
        <v>1.4</v>
      </c>
      <c r="E97">
        <v>2.1</v>
      </c>
      <c r="F97" s="6">
        <f t="shared" si="6"/>
        <v>1.0416666666666666E-2</v>
      </c>
      <c r="G97" s="5">
        <f t="shared" si="8"/>
        <v>0.76041666666666607</v>
      </c>
      <c r="H97" s="14">
        <f t="shared" si="7"/>
        <v>1.49</v>
      </c>
    </row>
    <row r="98" spans="4:8" x14ac:dyDescent="0.3">
      <c r="D98">
        <v>3.1</v>
      </c>
      <c r="E98">
        <v>2.1</v>
      </c>
      <c r="F98" s="6">
        <f t="shared" si="6"/>
        <v>1.0416666666666666E-2</v>
      </c>
      <c r="G98" s="5">
        <f t="shared" si="8"/>
        <v>0.7708333333333327</v>
      </c>
      <c r="H98" s="14">
        <f t="shared" si="7"/>
        <v>1.49</v>
      </c>
    </row>
    <row r="99" spans="4:8" x14ac:dyDescent="0.3">
      <c r="D99">
        <v>4</v>
      </c>
      <c r="E99">
        <v>2.1</v>
      </c>
      <c r="F99" s="6">
        <f t="shared" si="6"/>
        <v>1.0416666666666666E-2</v>
      </c>
      <c r="G99" s="5">
        <f t="shared" si="8"/>
        <v>0.78124999999999933</v>
      </c>
      <c r="H99" s="14">
        <f t="shared" si="7"/>
        <v>1.49</v>
      </c>
    </row>
    <row r="100" spans="4:8" x14ac:dyDescent="0.3">
      <c r="D100">
        <v>4.2</v>
      </c>
      <c r="E100">
        <v>2.1</v>
      </c>
      <c r="F100" s="6">
        <f t="shared" si="6"/>
        <v>1.0416666666666666E-2</v>
      </c>
      <c r="G100" s="5">
        <f t="shared" si="8"/>
        <v>0.79166666666666596</v>
      </c>
      <c r="H100" s="14">
        <f t="shared" si="7"/>
        <v>1.49</v>
      </c>
    </row>
    <row r="101" spans="4:8" x14ac:dyDescent="0.3">
      <c r="D101">
        <v>6.3</v>
      </c>
      <c r="E101">
        <v>2.1</v>
      </c>
      <c r="F101" s="6">
        <f t="shared" si="6"/>
        <v>1.0416666666666666E-2</v>
      </c>
      <c r="G101" s="5">
        <f t="shared" si="8"/>
        <v>0.80208333333333259</v>
      </c>
      <c r="H101" s="14">
        <f t="shared" si="7"/>
        <v>1.49</v>
      </c>
    </row>
    <row r="102" spans="4:8" x14ac:dyDescent="0.3">
      <c r="D102">
        <v>3.9</v>
      </c>
      <c r="E102">
        <v>2</v>
      </c>
      <c r="F102" s="6">
        <f t="shared" si="6"/>
        <v>1.0416666666666666E-2</v>
      </c>
      <c r="G102" s="5">
        <f t="shared" si="8"/>
        <v>0.81249999999999922</v>
      </c>
      <c r="H102" s="14">
        <f t="shared" si="7"/>
        <v>1.39</v>
      </c>
    </row>
    <row r="103" spans="4:8" x14ac:dyDescent="0.3">
      <c r="D103">
        <v>2.4</v>
      </c>
      <c r="E103">
        <v>2</v>
      </c>
      <c r="F103" s="6">
        <f t="shared" si="6"/>
        <v>1.0416666666666666E-2</v>
      </c>
      <c r="G103" s="5">
        <f t="shared" si="8"/>
        <v>0.82291666666666585</v>
      </c>
      <c r="H103" s="14">
        <f t="shared" si="7"/>
        <v>1.39</v>
      </c>
    </row>
    <row r="104" spans="4:8" x14ac:dyDescent="0.3">
      <c r="D104">
        <v>1.8</v>
      </c>
      <c r="E104">
        <v>2</v>
      </c>
      <c r="F104" s="6">
        <f t="shared" si="6"/>
        <v>1.0416666666666666E-2</v>
      </c>
      <c r="G104" s="5">
        <f t="shared" si="8"/>
        <v>0.83333333333333248</v>
      </c>
      <c r="H104" s="14">
        <f t="shared" si="7"/>
        <v>1.39</v>
      </c>
    </row>
    <row r="105" spans="4:8" x14ac:dyDescent="0.3">
      <c r="D105">
        <v>1.3</v>
      </c>
      <c r="E105">
        <v>2</v>
      </c>
      <c r="F105" s="6">
        <f t="shared" si="6"/>
        <v>1.0416666666666666E-2</v>
      </c>
      <c r="G105" s="5">
        <f t="shared" si="8"/>
        <v>0.84374999999999911</v>
      </c>
      <c r="H105" s="14">
        <f t="shared" si="7"/>
        <v>1.39</v>
      </c>
    </row>
    <row r="106" spans="4:8" x14ac:dyDescent="0.3">
      <c r="D106">
        <v>2.2000000000000002</v>
      </c>
      <c r="E106">
        <v>1.9</v>
      </c>
      <c r="F106" s="6">
        <f t="shared" si="6"/>
        <v>1.0416666666666666E-2</v>
      </c>
      <c r="G106" s="5">
        <f t="shared" si="8"/>
        <v>0.85416666666666574</v>
      </c>
      <c r="H106" s="14">
        <f t="shared" si="7"/>
        <v>1.2899999999999998</v>
      </c>
    </row>
    <row r="107" spans="4:8" x14ac:dyDescent="0.3">
      <c r="D107">
        <v>1.9</v>
      </c>
      <c r="E107">
        <v>1.9</v>
      </c>
      <c r="F107" s="6">
        <f t="shared" si="6"/>
        <v>1.0416666666666666E-2</v>
      </c>
      <c r="G107" s="5">
        <f t="shared" si="8"/>
        <v>0.86458333333333237</v>
      </c>
      <c r="H107" s="14">
        <f t="shared" si="7"/>
        <v>1.2899999999999998</v>
      </c>
    </row>
    <row r="108" spans="4:8" x14ac:dyDescent="0.3">
      <c r="D108">
        <v>2.7</v>
      </c>
      <c r="E108">
        <v>1.9</v>
      </c>
      <c r="F108" s="6">
        <f t="shared" si="6"/>
        <v>1.0416666666666666E-2</v>
      </c>
      <c r="G108" s="5">
        <f t="shared" si="8"/>
        <v>0.874999999999999</v>
      </c>
      <c r="H108" s="14">
        <f t="shared" si="7"/>
        <v>1.2899999999999998</v>
      </c>
    </row>
    <row r="109" spans="4:8" x14ac:dyDescent="0.3">
      <c r="D109" s="7">
        <v>0.9</v>
      </c>
      <c r="E109">
        <v>1.9</v>
      </c>
      <c r="F109" s="6">
        <f t="shared" si="6"/>
        <v>1.0416666666666666E-2</v>
      </c>
      <c r="G109" s="5">
        <f t="shared" si="8"/>
        <v>0.88541666666666563</v>
      </c>
      <c r="H109" s="14">
        <f t="shared" si="7"/>
        <v>1.2899999999999998</v>
      </c>
    </row>
    <row r="110" spans="4:8" x14ac:dyDescent="0.3">
      <c r="D110" s="7">
        <v>2.7</v>
      </c>
      <c r="E110">
        <v>1.8</v>
      </c>
      <c r="F110" s="6">
        <f t="shared" si="6"/>
        <v>1.0416666666666666E-2</v>
      </c>
      <c r="G110" s="5">
        <f t="shared" si="8"/>
        <v>0.89583333333333226</v>
      </c>
      <c r="H110" s="14">
        <f t="shared" si="7"/>
        <v>1.19</v>
      </c>
    </row>
    <row r="111" spans="4:8" x14ac:dyDescent="0.3">
      <c r="D111" s="7">
        <v>4.3</v>
      </c>
      <c r="E111">
        <v>1.7</v>
      </c>
      <c r="F111" s="6">
        <f t="shared" si="6"/>
        <v>1.0416666666666666E-2</v>
      </c>
      <c r="G111" s="5">
        <f t="shared" si="8"/>
        <v>0.90624999999999889</v>
      </c>
      <c r="H111" s="14">
        <f t="shared" si="7"/>
        <v>1.0899999999999999</v>
      </c>
    </row>
    <row r="112" spans="4:8" x14ac:dyDescent="0.3">
      <c r="D112" s="7">
        <v>3.6</v>
      </c>
      <c r="E112">
        <v>1.7</v>
      </c>
      <c r="F112" s="6">
        <f t="shared" si="6"/>
        <v>1.0416666666666666E-2</v>
      </c>
      <c r="G112" s="5">
        <f t="shared" si="8"/>
        <v>0.91666666666666552</v>
      </c>
      <c r="H112" s="14">
        <f t="shared" si="7"/>
        <v>1.0899999999999999</v>
      </c>
    </row>
    <row r="113" spans="4:8" x14ac:dyDescent="0.3">
      <c r="D113" s="7">
        <v>7</v>
      </c>
      <c r="E113">
        <v>1.7</v>
      </c>
      <c r="F113" s="6">
        <f t="shared" si="6"/>
        <v>1.0416666666666666E-2</v>
      </c>
      <c r="G113" s="5">
        <f t="shared" si="8"/>
        <v>0.92708333333333215</v>
      </c>
      <c r="H113" s="14">
        <f t="shared" si="7"/>
        <v>1.0899999999999999</v>
      </c>
    </row>
    <row r="114" spans="4:8" x14ac:dyDescent="0.3">
      <c r="D114" s="7">
        <v>4</v>
      </c>
      <c r="E114">
        <v>1.4</v>
      </c>
      <c r="F114" s="6">
        <f t="shared" si="6"/>
        <v>1.0416666666666666E-2</v>
      </c>
      <c r="G114" s="5">
        <f t="shared" si="8"/>
        <v>0.93749999999999878</v>
      </c>
      <c r="H114" s="14">
        <f t="shared" si="7"/>
        <v>0.78999999999999981</v>
      </c>
    </row>
    <row r="115" spans="4:8" x14ac:dyDescent="0.3">
      <c r="D115" s="7">
        <v>2.7</v>
      </c>
      <c r="E115">
        <v>1.4</v>
      </c>
      <c r="F115" s="6">
        <f t="shared" si="6"/>
        <v>1.0416666666666666E-2</v>
      </c>
      <c r="G115" s="5">
        <f t="shared" si="8"/>
        <v>0.94791666666666541</v>
      </c>
      <c r="H115" s="14">
        <f t="shared" si="7"/>
        <v>0.78999999999999981</v>
      </c>
    </row>
    <row r="116" spans="4:8" x14ac:dyDescent="0.3">
      <c r="D116" s="7">
        <v>2.2000000000000002</v>
      </c>
      <c r="E116">
        <v>1.3</v>
      </c>
      <c r="F116" s="6">
        <f t="shared" si="6"/>
        <v>1.0416666666666666E-2</v>
      </c>
      <c r="G116" s="5">
        <f t="shared" si="8"/>
        <v>0.95833333333333204</v>
      </c>
      <c r="H116" s="14">
        <f t="shared" si="7"/>
        <v>0.69</v>
      </c>
    </row>
    <row r="117" spans="4:8" x14ac:dyDescent="0.3">
      <c r="D117" s="7">
        <v>1.9</v>
      </c>
      <c r="E117">
        <v>1.3</v>
      </c>
      <c r="F117" s="6">
        <f t="shared" si="6"/>
        <v>1.0416666666666666E-2</v>
      </c>
      <c r="G117" s="5">
        <f t="shared" si="8"/>
        <v>0.96874999999999867</v>
      </c>
      <c r="H117" s="14">
        <f t="shared" si="7"/>
        <v>0.69</v>
      </c>
    </row>
    <row r="118" spans="4:8" x14ac:dyDescent="0.3">
      <c r="D118" s="7">
        <v>2.2999999999999998</v>
      </c>
      <c r="E118">
        <v>1.2</v>
      </c>
      <c r="F118" s="6">
        <f t="shared" si="6"/>
        <v>1.0416666666666666E-2</v>
      </c>
      <c r="G118" s="5">
        <f t="shared" si="8"/>
        <v>0.9791666666666653</v>
      </c>
      <c r="H118" s="14">
        <f t="shared" si="7"/>
        <v>0.58999999999999986</v>
      </c>
    </row>
    <row r="119" spans="4:8" x14ac:dyDescent="0.3">
      <c r="D119" s="7">
        <v>2.1</v>
      </c>
      <c r="E119">
        <v>0.9</v>
      </c>
      <c r="F119" s="6">
        <f t="shared" si="6"/>
        <v>1.0416666666666666E-2</v>
      </c>
      <c r="G119" s="5">
        <f t="shared" si="8"/>
        <v>0.98958333333333193</v>
      </c>
      <c r="H119" s="14">
        <f t="shared" si="7"/>
        <v>0.28999999999999992</v>
      </c>
    </row>
    <row r="120" spans="4:8" x14ac:dyDescent="0.3">
      <c r="D120" s="7">
        <v>3</v>
      </c>
      <c r="E120">
        <v>0.7</v>
      </c>
      <c r="F120" s="6">
        <f t="shared" si="6"/>
        <v>1.0416666666666666E-2</v>
      </c>
      <c r="G120" s="5">
        <f t="shared" si="8"/>
        <v>0.99999999999999856</v>
      </c>
      <c r="H120" s="14">
        <f t="shared" si="7"/>
        <v>8.9999999999999858E-2</v>
      </c>
    </row>
  </sheetData>
  <sortState ref="K25:K36">
    <sortCondition descending="1" ref="K25"/>
  </sortState>
  <pageMargins left="0.7" right="0.7" top="0.75" bottom="0.75" header="0.3" footer="0.3"/>
  <pageSetup orientation="portrait" r:id="rId1"/>
  <ignoredErrors>
    <ignoredError sqref="D18:K1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6"/>
  <sheetViews>
    <sheetView tabSelected="1" topLeftCell="A67" workbookViewId="0">
      <selection activeCell="C73" sqref="C73"/>
    </sheetView>
  </sheetViews>
  <sheetFormatPr defaultRowHeight="14.4" x14ac:dyDescent="0.3"/>
  <cols>
    <col min="3" max="3" width="9.21875" bestFit="1" customWidth="1"/>
    <col min="6" max="8" width="9.21875" bestFit="1" customWidth="1"/>
    <col min="9" max="9" width="11.77734375" bestFit="1" customWidth="1"/>
    <col min="10" max="10" width="12" bestFit="1" customWidth="1"/>
    <col min="13" max="13" width="9.33203125" bestFit="1" customWidth="1"/>
    <col min="14" max="16" width="11.77734375" bestFit="1" customWidth="1"/>
    <col min="17" max="18" width="15.44140625" bestFit="1" customWidth="1"/>
    <col min="19" max="19" width="11.77734375" bestFit="1" customWidth="1"/>
    <col min="21" max="21" width="15.44140625" bestFit="1" customWidth="1"/>
  </cols>
  <sheetData>
    <row r="1" spans="2:14" x14ac:dyDescent="0.3">
      <c r="B1" t="s">
        <v>37</v>
      </c>
      <c r="C1">
        <v>175</v>
      </c>
      <c r="D1" t="s">
        <v>2</v>
      </c>
      <c r="F1" t="s">
        <v>39</v>
      </c>
      <c r="G1">
        <f>0.15</f>
        <v>0.15</v>
      </c>
      <c r="L1" t="s">
        <v>50</v>
      </c>
      <c r="M1">
        <v>1000</v>
      </c>
    </row>
    <row r="2" spans="2:14" x14ac:dyDescent="0.3">
      <c r="B2" t="s">
        <v>38</v>
      </c>
      <c r="C2">
        <v>3.09</v>
      </c>
      <c r="D2" t="s">
        <v>20</v>
      </c>
      <c r="F2" t="s">
        <v>40</v>
      </c>
      <c r="G2" s="1">
        <f>C1-G1*C2^2</f>
        <v>173.56778499999999</v>
      </c>
      <c r="I2" t="s">
        <v>41</v>
      </c>
      <c r="J2" t="s">
        <v>42</v>
      </c>
      <c r="L2" t="s">
        <v>51</v>
      </c>
      <c r="M2">
        <v>9.8000000000000007</v>
      </c>
    </row>
    <row r="3" spans="2:14" x14ac:dyDescent="0.3">
      <c r="I3" t="s">
        <v>43</v>
      </c>
      <c r="J3">
        <f>1.15*C2</f>
        <v>3.5534999999999997</v>
      </c>
      <c r="L3" t="s">
        <v>55</v>
      </c>
      <c r="M3" s="1">
        <f>M1*M2*D11*E11*G11/1000000</f>
        <v>4.5201425122181993</v>
      </c>
      <c r="N3" t="s">
        <v>56</v>
      </c>
    </row>
    <row r="4" spans="2:14" x14ac:dyDescent="0.3">
      <c r="I4" t="s">
        <v>44</v>
      </c>
      <c r="J4">
        <f>0.5*C2</f>
        <v>1.5449999999999999</v>
      </c>
    </row>
    <row r="6" spans="2:14" x14ac:dyDescent="0.3">
      <c r="B6" t="s">
        <v>61</v>
      </c>
    </row>
    <row r="7" spans="2:14" x14ac:dyDescent="0.3">
      <c r="B7" t="s">
        <v>35</v>
      </c>
      <c r="C7" t="s">
        <v>36</v>
      </c>
      <c r="D7" t="s">
        <v>45</v>
      </c>
      <c r="E7" t="s">
        <v>40</v>
      </c>
      <c r="F7" t="s">
        <v>47</v>
      </c>
      <c r="G7" t="s">
        <v>46</v>
      </c>
      <c r="H7" t="s">
        <v>49</v>
      </c>
      <c r="I7" t="s">
        <v>52</v>
      </c>
      <c r="K7" t="s">
        <v>58</v>
      </c>
    </row>
    <row r="8" spans="2:14" x14ac:dyDescent="0.3">
      <c r="B8">
        <v>0</v>
      </c>
      <c r="C8">
        <v>11.69</v>
      </c>
      <c r="D8">
        <f>IF(C8&gt;=$J$3,$J$3,IF(C8&lt;$J$4,0,C8))</f>
        <v>3.5534999999999997</v>
      </c>
      <c r="E8">
        <f>$C$1-$G$1*D8^2</f>
        <v>173.10589566249999</v>
      </c>
      <c r="F8">
        <f>D8/$C$2</f>
        <v>1.1499999999999999</v>
      </c>
      <c r="G8">
        <f>0.85</f>
        <v>0.85</v>
      </c>
      <c r="H8">
        <f>$M$1*$M$2*D8*E8*F8/1000</f>
        <v>6932.5353886675357</v>
      </c>
    </row>
    <row r="9" spans="2:14" x14ac:dyDescent="0.3">
      <c r="B9">
        <v>10</v>
      </c>
      <c r="C9">
        <f>5.49</f>
        <v>5.49</v>
      </c>
      <c r="D9" s="2">
        <f t="shared" ref="D9:D18" si="0">IF(C9&gt;=$J$3,$J$3,IF(C9&lt;$J$4,0,C9))</f>
        <v>3.5534999999999997</v>
      </c>
      <c r="E9" s="2">
        <f t="shared" ref="E9:E18" si="1">$C$1-$G$1*D9^2</f>
        <v>173.10589566249999</v>
      </c>
      <c r="F9" s="2">
        <f t="shared" ref="F9:F18" si="2">D9/$C$2</f>
        <v>1.1499999999999999</v>
      </c>
      <c r="G9">
        <v>0.85</v>
      </c>
      <c r="H9" s="2">
        <f t="shared" ref="H9:H18" si="3">$M$1*$M$2*D9*E9*F9/1000</f>
        <v>6932.5353886675357</v>
      </c>
      <c r="I9">
        <f>(H8+H9)*(B9-B8)*8760/(2*100*1000)</f>
        <v>6072.9010004727606</v>
      </c>
      <c r="K9">
        <f>(D8+D9)*8760*3600*(B9-B8)/(2*100)</f>
        <v>11206317.599999998</v>
      </c>
    </row>
    <row r="10" spans="2:14" x14ac:dyDescent="0.3">
      <c r="B10">
        <v>20</v>
      </c>
      <c r="C10">
        <v>3.79</v>
      </c>
      <c r="D10" s="2">
        <f t="shared" si="0"/>
        <v>3.5534999999999997</v>
      </c>
      <c r="E10" s="2">
        <f t="shared" si="1"/>
        <v>173.10589566249999</v>
      </c>
      <c r="F10" s="2">
        <f t="shared" si="2"/>
        <v>1.1499999999999999</v>
      </c>
      <c r="G10">
        <v>0.85</v>
      </c>
      <c r="H10" s="2">
        <f t="shared" si="3"/>
        <v>6932.5353886675357</v>
      </c>
      <c r="I10" s="2">
        <f t="shared" ref="I10:I18" si="4">(H9+H10)*(B10-B9)*8760/(2*100*1000)</f>
        <v>6072.9010004727606</v>
      </c>
      <c r="K10" s="2">
        <f>(D9+D10)*8760*3600*(B10-B9)/(2*100)</f>
        <v>11206317.599999998</v>
      </c>
    </row>
    <row r="11" spans="2:14" x14ac:dyDescent="0.3">
      <c r="B11" s="2">
        <v>30</v>
      </c>
      <c r="C11">
        <f>3.09</f>
        <v>3.09</v>
      </c>
      <c r="D11" s="2">
        <f t="shared" si="0"/>
        <v>3.09</v>
      </c>
      <c r="E11" s="2">
        <f t="shared" si="1"/>
        <v>173.56778499999999</v>
      </c>
      <c r="F11" s="2">
        <f t="shared" si="2"/>
        <v>1</v>
      </c>
      <c r="G11">
        <v>0.86</v>
      </c>
      <c r="H11" s="2">
        <f t="shared" si="3"/>
        <v>5255.9796653699996</v>
      </c>
      <c r="I11" s="2">
        <f t="shared" si="4"/>
        <v>5338.5695936684406</v>
      </c>
      <c r="K11" s="2">
        <f>(D10+D11)*8760*3600*(B11-B10)/(2*100)</f>
        <v>10475470.800000001</v>
      </c>
    </row>
    <row r="12" spans="2:14" x14ac:dyDescent="0.3">
      <c r="B12" s="2">
        <v>40</v>
      </c>
      <c r="C12">
        <v>2.79</v>
      </c>
      <c r="D12" s="2">
        <f t="shared" si="0"/>
        <v>2.79</v>
      </c>
      <c r="E12" s="2">
        <f t="shared" si="1"/>
        <v>173.83238499999999</v>
      </c>
      <c r="F12" s="2">
        <f t="shared" si="2"/>
        <v>0.90291262135922334</v>
      </c>
      <c r="G12">
        <f>0.87</f>
        <v>0.87</v>
      </c>
      <c r="H12" s="2">
        <f t="shared" si="3"/>
        <v>4291.4760346826215</v>
      </c>
      <c r="I12" s="2">
        <f t="shared" si="4"/>
        <v>4181.7855966230491</v>
      </c>
      <c r="K12" s="2">
        <f>(D11+D12)*8760*3600*(B12-B11)/(2*100)</f>
        <v>9271583.9999999981</v>
      </c>
    </row>
    <row r="13" spans="2:14" x14ac:dyDescent="0.3">
      <c r="B13" s="2">
        <v>50</v>
      </c>
      <c r="C13">
        <f>2.09</f>
        <v>2.09</v>
      </c>
      <c r="D13" s="2">
        <f t="shared" si="0"/>
        <v>2.09</v>
      </c>
      <c r="E13" s="2">
        <f t="shared" si="1"/>
        <v>174.344785</v>
      </c>
      <c r="F13" s="2">
        <f t="shared" si="2"/>
        <v>0.6763754045307443</v>
      </c>
      <c r="G13">
        <f>0.85</f>
        <v>0.85</v>
      </c>
      <c r="H13" s="2">
        <f t="shared" si="3"/>
        <v>2415.2891464444333</v>
      </c>
      <c r="I13" s="2">
        <f t="shared" si="4"/>
        <v>2937.5631493336505</v>
      </c>
      <c r="K13" s="2">
        <f>(D12+D13)*8760*3600*(B13-B12)/(2*100)</f>
        <v>7694783.9999999991</v>
      </c>
    </row>
    <row r="14" spans="2:14" x14ac:dyDescent="0.3">
      <c r="B14" s="2">
        <v>60</v>
      </c>
      <c r="C14">
        <v>1.7899999999999998</v>
      </c>
      <c r="D14" s="2">
        <f t="shared" si="0"/>
        <v>1.7899999999999998</v>
      </c>
      <c r="E14" s="2">
        <f t="shared" si="1"/>
        <v>174.519385</v>
      </c>
      <c r="F14" s="2">
        <f t="shared" si="2"/>
        <v>0.57928802588996764</v>
      </c>
      <c r="G14">
        <f>0.8</f>
        <v>0.8</v>
      </c>
      <c r="H14" s="2">
        <f t="shared" si="3"/>
        <v>1773.4433988638509</v>
      </c>
      <c r="I14" s="2">
        <f t="shared" si="4"/>
        <v>1834.6648548450285</v>
      </c>
      <c r="K14" s="2">
        <f>(D13+D14)*8760*3600*(B14-B13)/(2*100)</f>
        <v>6117983.9999999991</v>
      </c>
    </row>
    <row r="15" spans="2:14" x14ac:dyDescent="0.3">
      <c r="B15" s="2">
        <v>70</v>
      </c>
      <c r="C15">
        <f>1.59</f>
        <v>1.59</v>
      </c>
      <c r="D15" s="2">
        <f t="shared" si="0"/>
        <v>1.59</v>
      </c>
      <c r="E15" s="2">
        <f t="shared" si="1"/>
        <v>174.62078500000001</v>
      </c>
      <c r="F15" s="2">
        <f t="shared" si="2"/>
        <v>0.51456310679611661</v>
      </c>
      <c r="G15">
        <v>0.75</v>
      </c>
      <c r="H15" s="2">
        <f t="shared" si="3"/>
        <v>1400.0958913505829</v>
      </c>
      <c r="I15" s="2">
        <f t="shared" si="4"/>
        <v>1390.0102091139222</v>
      </c>
      <c r="K15" s="2">
        <f>(D14+D15)*8760*3600*(B15-B14)/(2*100)</f>
        <v>5329584</v>
      </c>
    </row>
    <row r="16" spans="2:14" x14ac:dyDescent="0.3">
      <c r="B16" s="2">
        <v>80</v>
      </c>
      <c r="C16">
        <f>1.49</f>
        <v>1.49</v>
      </c>
      <c r="D16" s="2">
        <f t="shared" si="0"/>
        <v>0</v>
      </c>
      <c r="E16" s="2">
        <f t="shared" si="1"/>
        <v>175</v>
      </c>
      <c r="F16" s="2">
        <f t="shared" si="2"/>
        <v>0</v>
      </c>
      <c r="G16">
        <v>0.75</v>
      </c>
      <c r="H16" s="2">
        <f t="shared" si="3"/>
        <v>0</v>
      </c>
      <c r="I16" s="2">
        <f t="shared" si="4"/>
        <v>613.2420004115553</v>
      </c>
      <c r="K16" s="2">
        <f>(D15+D16)*8760*3600*(B16-B15)/(2*100)</f>
        <v>2507112.0000000005</v>
      </c>
    </row>
    <row r="17" spans="2:13" x14ac:dyDescent="0.3">
      <c r="B17">
        <v>90</v>
      </c>
      <c r="C17">
        <v>1.19</v>
      </c>
      <c r="D17" s="2">
        <f t="shared" si="0"/>
        <v>0</v>
      </c>
      <c r="E17" s="2">
        <f t="shared" si="1"/>
        <v>175</v>
      </c>
      <c r="F17" s="2">
        <f t="shared" si="2"/>
        <v>0</v>
      </c>
      <c r="G17">
        <v>0</v>
      </c>
      <c r="H17" s="2">
        <f t="shared" si="3"/>
        <v>0</v>
      </c>
      <c r="I17" s="2">
        <f t="shared" si="4"/>
        <v>0</v>
      </c>
      <c r="K17" s="2">
        <f>(D16+D17)*8760*3600*(B17-B16)/(2*100)</f>
        <v>0</v>
      </c>
    </row>
    <row r="18" spans="2:13" x14ac:dyDescent="0.3">
      <c r="B18">
        <v>100</v>
      </c>
      <c r="C18">
        <v>0.09</v>
      </c>
      <c r="D18" s="2">
        <f t="shared" si="0"/>
        <v>0</v>
      </c>
      <c r="E18" s="2">
        <f t="shared" si="1"/>
        <v>175</v>
      </c>
      <c r="F18" s="2">
        <f t="shared" si="2"/>
        <v>0</v>
      </c>
      <c r="G18">
        <v>0</v>
      </c>
      <c r="H18" s="2">
        <f t="shared" si="3"/>
        <v>0</v>
      </c>
      <c r="I18" s="2">
        <f t="shared" si="4"/>
        <v>0</v>
      </c>
      <c r="K18" s="2">
        <f>(D17+D18)*8760*3600*(B18-B17)/(2*100)</f>
        <v>0</v>
      </c>
    </row>
    <row r="20" spans="2:13" x14ac:dyDescent="0.3">
      <c r="H20" s="18" t="s">
        <v>54</v>
      </c>
      <c r="I20" s="1">
        <f>SUM(I9:I18)</f>
        <v>28441.637404941172</v>
      </c>
      <c r="J20" t="s">
        <v>53</v>
      </c>
      <c r="K20" s="1">
        <f>SUM(K9:K18)/1000000</f>
        <v>63.809153999999992</v>
      </c>
      <c r="L20" t="s">
        <v>59</v>
      </c>
    </row>
    <row r="21" spans="2:13" x14ac:dyDescent="0.3">
      <c r="G21" t="s">
        <v>57</v>
      </c>
      <c r="H21" s="5">
        <f>I20/(8760*M3)</f>
        <v>0.71828758762845468</v>
      </c>
      <c r="L21" s="18" t="s">
        <v>60</v>
      </c>
      <c r="M21" s="5">
        <f>K20/'1ο ερωτημα'!Q3</f>
        <v>0.6045564892623716</v>
      </c>
    </row>
    <row r="28" spans="2:13" x14ac:dyDescent="0.3">
      <c r="B28" t="s">
        <v>76</v>
      </c>
    </row>
    <row r="29" spans="2:13" x14ac:dyDescent="0.3">
      <c r="B29" s="18" t="s">
        <v>38</v>
      </c>
      <c r="C29" s="1">
        <f>C2/2</f>
        <v>1.5449999999999999</v>
      </c>
      <c r="D29" t="s">
        <v>20</v>
      </c>
    </row>
    <row r="30" spans="2:13" x14ac:dyDescent="0.3">
      <c r="B30" t="s">
        <v>40</v>
      </c>
      <c r="C30" s="1">
        <f>G2</f>
        <v>173.56778499999999</v>
      </c>
      <c r="D30" t="s">
        <v>2</v>
      </c>
    </row>
    <row r="31" spans="2:13" x14ac:dyDescent="0.3">
      <c r="B31" t="s">
        <v>43</v>
      </c>
      <c r="C31" s="1">
        <f>J3/2</f>
        <v>1.7767499999999998</v>
      </c>
      <c r="D31" t="s">
        <v>20</v>
      </c>
    </row>
    <row r="32" spans="2:13" x14ac:dyDescent="0.3">
      <c r="B32" t="s">
        <v>44</v>
      </c>
      <c r="C32" s="1">
        <f>J4/2</f>
        <v>0.77249999999999996</v>
      </c>
      <c r="D32" t="s">
        <v>20</v>
      </c>
    </row>
    <row r="33" spans="2:21" x14ac:dyDescent="0.3">
      <c r="B33" t="s">
        <v>48</v>
      </c>
      <c r="C33" s="1">
        <f>M3/2</f>
        <v>2.2600712561090996</v>
      </c>
      <c r="D33" t="s">
        <v>56</v>
      </c>
    </row>
    <row r="36" spans="2:21" x14ac:dyDescent="0.3">
      <c r="B36" t="s">
        <v>35</v>
      </c>
      <c r="C36" t="s">
        <v>36</v>
      </c>
      <c r="D36" t="s">
        <v>62</v>
      </c>
      <c r="E36" t="s">
        <v>63</v>
      </c>
      <c r="F36" t="s">
        <v>72</v>
      </c>
      <c r="G36" t="s">
        <v>71</v>
      </c>
      <c r="H36" t="s">
        <v>40</v>
      </c>
      <c r="I36" t="s">
        <v>66</v>
      </c>
      <c r="J36" t="s">
        <v>67</v>
      </c>
      <c r="K36" t="s">
        <v>73</v>
      </c>
      <c r="L36" t="s">
        <v>64</v>
      </c>
      <c r="M36" t="s">
        <v>65</v>
      </c>
      <c r="N36" t="s">
        <v>74</v>
      </c>
      <c r="O36" t="s">
        <v>68</v>
      </c>
      <c r="P36" t="s">
        <v>69</v>
      </c>
      <c r="Q36" t="s">
        <v>75</v>
      </c>
      <c r="R36" t="s">
        <v>70</v>
      </c>
      <c r="S36" t="s">
        <v>52</v>
      </c>
      <c r="U36" t="s">
        <v>58</v>
      </c>
    </row>
    <row r="37" spans="2:21" x14ac:dyDescent="0.3">
      <c r="B37">
        <v>0</v>
      </c>
      <c r="C37">
        <v>11.690000000000001</v>
      </c>
      <c r="D37" s="1">
        <f>IF(AND(C37&gt;3*$C$32,C37-$C$31&lt;$C$32),C37/3,IF(C37&gt;=$C$31,$C$31,IF(C37&lt;$C$32,0,C37)))</f>
        <v>1.7767499999999998</v>
      </c>
      <c r="E37" s="1">
        <f>IF(AND(C37-D37&gt;2*$C$32,C37-D37-$C$31&lt;$C$32),(C37-D37)/2,IF(C37-D37&gt;=$C$31,$C$31,IF(C37-D37&lt;$C$32,0,C37-D37)))</f>
        <v>1.7767499999999998</v>
      </c>
      <c r="F37" s="1">
        <f>IF(C37-D37-E37&gt;=$C$31,$C$31,IF(C37-D37-E37&lt;$C$32,0,C37-D37-E37))</f>
        <v>1.7767499999999998</v>
      </c>
      <c r="G37" s="14">
        <f>D37+E37+F37</f>
        <v>5.3302499999999995</v>
      </c>
      <c r="H37" s="1">
        <f>$C$1-$G$1*(G37)^2</f>
        <v>170.738265240625</v>
      </c>
      <c r="I37">
        <f>D37/$C$29</f>
        <v>1.1499999999999999</v>
      </c>
      <c r="J37">
        <f>E37/$C$29</f>
        <v>1.1499999999999999</v>
      </c>
      <c r="K37">
        <f>F37/$C$29</f>
        <v>1.1499999999999999</v>
      </c>
      <c r="L37">
        <v>0.85</v>
      </c>
      <c r="M37">
        <v>0.85</v>
      </c>
      <c r="N37">
        <v>0.85</v>
      </c>
      <c r="O37" s="1">
        <f>$M$1*$M$2*D37*H37*L37/1000000</f>
        <v>2.5269822423431161</v>
      </c>
      <c r="P37" s="1">
        <f>$M$1*$M$2*E37*H37*M37/1000000</f>
        <v>2.5269822423431161</v>
      </c>
      <c r="Q37" s="10">
        <f>$M$1*$M$2*F37*H37*N37/1000000</f>
        <v>2.5269822423431161</v>
      </c>
      <c r="R37" s="14">
        <f>O37+P37+Q37</f>
        <v>7.5809467270293478</v>
      </c>
    </row>
    <row r="38" spans="2:21" x14ac:dyDescent="0.3">
      <c r="B38">
        <v>10</v>
      </c>
      <c r="C38">
        <v>5.49</v>
      </c>
      <c r="D38" s="1">
        <f t="shared" ref="D38:D47" si="5">IF(AND(C38&gt;2*$C$32,C38-$C$31&lt;$C$32),C38/2,IF(C38&gt;=$C$31,$C$31,IF(C38&lt;$C$32,0,C38)))</f>
        <v>1.7767499999999998</v>
      </c>
      <c r="E38" s="1">
        <f t="shared" ref="E38:E47" si="6">IF(AND(C38-D38&gt;2*$C$32,C38-D38-$C$31&lt;$C$32),(C38-D38)/2,IF(C38-D38&gt;=$C$31,$C$31,IF(C38-D38&lt;$C$32,0,C38-D38)))</f>
        <v>1.7767499999999998</v>
      </c>
      <c r="F38" s="1">
        <f t="shared" ref="F38:F47" si="7">IF(C38-D38-E38&gt;=$C$31,$C$31,IF(C38-D38-E38&lt;$C$32,0,C38-D38-E38))</f>
        <v>1.7767499999999998</v>
      </c>
      <c r="G38" s="14">
        <f t="shared" ref="G38:G47" si="8">D38+E38+F38</f>
        <v>5.3302499999999995</v>
      </c>
      <c r="H38" s="1">
        <f t="shared" ref="H38:H47" si="9">$C$1-$G$1*(G38)^2</f>
        <v>170.738265240625</v>
      </c>
      <c r="I38" s="2">
        <f>D38/$C$29</f>
        <v>1.1499999999999999</v>
      </c>
      <c r="J38" s="2">
        <f>E38/$C$29</f>
        <v>1.1499999999999999</v>
      </c>
      <c r="K38" s="2">
        <f t="shared" ref="K38:K47" si="10">F38/$C$29</f>
        <v>1.1499999999999999</v>
      </c>
      <c r="L38" s="2">
        <v>0.85</v>
      </c>
      <c r="M38" s="2">
        <v>0.85</v>
      </c>
      <c r="N38" s="2">
        <v>0.85</v>
      </c>
      <c r="O38" s="1">
        <f>$M$1*$M$2*D38*H38*L38/1000000</f>
        <v>2.5269822423431161</v>
      </c>
      <c r="P38" s="1">
        <f>$M$1*$M$2*E38*H38*M38/1000000</f>
        <v>2.5269822423431161</v>
      </c>
      <c r="Q38" s="10">
        <f t="shared" ref="Q37:Q38" si="11">$M$1*$M$2*F38*H38*N38/1000000</f>
        <v>2.5269822423431161</v>
      </c>
      <c r="R38" s="14">
        <f t="shared" ref="R38:R47" si="12">O38+P38+Q38</f>
        <v>7.5809467270293478</v>
      </c>
      <c r="S38" s="1">
        <f>(R38+R37)*(B38-B37)*8760/(2*100)</f>
        <v>6640.9093328777099</v>
      </c>
      <c r="U38" s="1">
        <f>(G38+G37)*8760*3600*(B38-B37)/(2*100)</f>
        <v>16809476.399999999</v>
      </c>
    </row>
    <row r="39" spans="2:21" x14ac:dyDescent="0.3">
      <c r="B39">
        <v>20</v>
      </c>
      <c r="C39">
        <v>3.79</v>
      </c>
      <c r="D39" s="1">
        <f t="shared" si="5"/>
        <v>1.7767499999999998</v>
      </c>
      <c r="E39" s="10">
        <f t="shared" si="6"/>
        <v>1.0066250000000001</v>
      </c>
      <c r="F39" s="10">
        <f t="shared" si="7"/>
        <v>1.0066250000000001</v>
      </c>
      <c r="G39" s="14">
        <f t="shared" si="8"/>
        <v>3.79</v>
      </c>
      <c r="H39" s="1">
        <f t="shared" si="9"/>
        <v>172.84538499999999</v>
      </c>
      <c r="I39" s="2">
        <f>D39/$C$29</f>
        <v>1.1499999999999999</v>
      </c>
      <c r="J39" s="1">
        <f>E39/$C$29</f>
        <v>0.65153721682847909</v>
      </c>
      <c r="K39" s="1">
        <f t="shared" si="10"/>
        <v>0.65153721682847909</v>
      </c>
      <c r="L39" s="2">
        <v>0.85</v>
      </c>
      <c r="M39" s="2">
        <v>0.82</v>
      </c>
      <c r="N39">
        <v>0.82</v>
      </c>
      <c r="O39" s="1">
        <f>$M$1*$M$2*D39*H39*L39/1000000</f>
        <v>2.558168304863587</v>
      </c>
      <c r="P39" s="10">
        <f>$M$1*$M$2*E39*H39*M39/1000000</f>
        <v>1.3981875428893227</v>
      </c>
      <c r="Q39" s="10">
        <f>$M$1*$M$2*F39*H39*N39/1000000</f>
        <v>1.3981875428893227</v>
      </c>
      <c r="R39" s="14">
        <f t="shared" si="12"/>
        <v>5.3545433906422328</v>
      </c>
      <c r="S39" s="1">
        <f>(R39+R38)*(B39-B38)*8760/(2*100)</f>
        <v>5665.744671540152</v>
      </c>
      <c r="U39" s="1">
        <f>(G39+G38)*8760*3600*(B39-B38)/(2*100)</f>
        <v>14380810.199999997</v>
      </c>
    </row>
    <row r="40" spans="2:21" x14ac:dyDescent="0.3">
      <c r="B40">
        <v>30</v>
      </c>
      <c r="C40">
        <v>3.09</v>
      </c>
      <c r="D40" s="1">
        <f t="shared" si="5"/>
        <v>1.7767499999999998</v>
      </c>
      <c r="E40" s="1">
        <f t="shared" si="6"/>
        <v>1.31325</v>
      </c>
      <c r="F40" s="19">
        <f t="shared" si="7"/>
        <v>0</v>
      </c>
      <c r="G40" s="14">
        <f t="shared" si="8"/>
        <v>3.09</v>
      </c>
      <c r="H40" s="1">
        <f t="shared" si="9"/>
        <v>173.56778499999999</v>
      </c>
      <c r="I40" s="2">
        <f>D40/$C$29</f>
        <v>1.1499999999999999</v>
      </c>
      <c r="J40" s="2">
        <f>E40/$C$29</f>
        <v>0.85000000000000009</v>
      </c>
      <c r="K40" s="2">
        <f t="shared" si="10"/>
        <v>0</v>
      </c>
      <c r="L40">
        <v>0.85</v>
      </c>
      <c r="M40">
        <v>0.85</v>
      </c>
      <c r="N40">
        <v>0</v>
      </c>
      <c r="O40" s="1">
        <f>$M$1*$M$2*D40*H40*L40/1000000</f>
        <v>2.5688600614495867</v>
      </c>
      <c r="P40" s="1">
        <f>$M$1*$M$2*E40*H40*M40/1000000</f>
        <v>1.8987226541149123</v>
      </c>
      <c r="Q40" s="2">
        <f t="shared" ref="Q38:Q47" si="13">$M$1*$M$2*F40*H40*L40/1000000</f>
        <v>0</v>
      </c>
      <c r="R40" s="14">
        <f t="shared" si="12"/>
        <v>4.4675827155644985</v>
      </c>
      <c r="S40" s="1">
        <f>(R40+R39)*(B40-B39)*8760/(2*100)</f>
        <v>4302.0912345185488</v>
      </c>
      <c r="U40" s="1">
        <f>(G40+G39)*8760*3600*(B40-B39)/(2*100)</f>
        <v>10848383.999999998</v>
      </c>
    </row>
    <row r="41" spans="2:21" x14ac:dyDescent="0.3">
      <c r="B41">
        <v>40</v>
      </c>
      <c r="C41">
        <v>2.79</v>
      </c>
      <c r="D41" s="1">
        <f t="shared" si="5"/>
        <v>1.7767499999999998</v>
      </c>
      <c r="E41" s="1">
        <f t="shared" si="6"/>
        <v>1.0132500000000002</v>
      </c>
      <c r="F41" s="19">
        <f t="shared" si="7"/>
        <v>0</v>
      </c>
      <c r="G41" s="14">
        <f t="shared" si="8"/>
        <v>2.79</v>
      </c>
      <c r="H41" s="1">
        <f t="shared" si="9"/>
        <v>173.83238499999999</v>
      </c>
      <c r="I41" s="2">
        <f>D41/$C$29</f>
        <v>1.1499999999999999</v>
      </c>
      <c r="J41" s="1">
        <f>E41/$C$29</f>
        <v>0.65582524271844678</v>
      </c>
      <c r="K41" s="2">
        <f t="shared" si="10"/>
        <v>0</v>
      </c>
      <c r="L41">
        <v>0.85</v>
      </c>
      <c r="M41">
        <v>0.83</v>
      </c>
      <c r="N41" s="2">
        <v>0</v>
      </c>
      <c r="O41" s="1">
        <f>$M$1*$M$2*D41*H41*L41/1000000</f>
        <v>2.5727762281060871</v>
      </c>
      <c r="P41" s="1">
        <f>$M$1*$M$2*E41*H41*M41/1000000</f>
        <v>1.4326874917995676</v>
      </c>
      <c r="Q41" s="2">
        <f t="shared" si="13"/>
        <v>0</v>
      </c>
      <c r="R41" s="14">
        <f t="shared" si="12"/>
        <v>4.0054637199056549</v>
      </c>
      <c r="S41" s="1">
        <f>(R41+R40)*(B41-B40)*8760/(2*100)</f>
        <v>3711.194338735927</v>
      </c>
      <c r="U41" s="1">
        <f>(G41+G40)*8760*3600*(B41-B40)/(2*100)</f>
        <v>9271583.9999999981</v>
      </c>
    </row>
    <row r="42" spans="2:21" x14ac:dyDescent="0.3">
      <c r="B42">
        <v>50</v>
      </c>
      <c r="C42">
        <v>2.09</v>
      </c>
      <c r="D42" s="11">
        <f t="shared" si="5"/>
        <v>1.0449999999999999</v>
      </c>
      <c r="E42" s="1">
        <f t="shared" si="6"/>
        <v>1.0449999999999999</v>
      </c>
      <c r="F42" s="19">
        <f t="shared" si="7"/>
        <v>0</v>
      </c>
      <c r="G42" s="14">
        <f t="shared" si="8"/>
        <v>2.09</v>
      </c>
      <c r="H42" s="1">
        <f t="shared" si="9"/>
        <v>174.344785</v>
      </c>
      <c r="I42" s="1">
        <f>D42/$C$29</f>
        <v>0.6763754045307443</v>
      </c>
      <c r="J42" s="1">
        <f>E42/$C$29</f>
        <v>0.6763754045307443</v>
      </c>
      <c r="K42" s="2">
        <f t="shared" si="10"/>
        <v>0</v>
      </c>
      <c r="L42">
        <v>0.83</v>
      </c>
      <c r="M42">
        <v>0.83</v>
      </c>
      <c r="N42" s="2">
        <v>0</v>
      </c>
      <c r="O42" s="1">
        <f>$M$1*$M$2*D42*H42*L42/1000000</f>
        <v>1.4819359028435499</v>
      </c>
      <c r="P42" s="1">
        <f>$M$1*$M$2*E42*H42*M42/1000000</f>
        <v>1.4819359028435499</v>
      </c>
      <c r="Q42" s="2">
        <f t="shared" si="13"/>
        <v>0</v>
      </c>
      <c r="R42" s="14">
        <f t="shared" si="12"/>
        <v>2.9638718056870998</v>
      </c>
      <c r="S42" s="1">
        <f>(R42+R41)*(B42-B41)*8760/(2*100)</f>
        <v>3052.5689602096263</v>
      </c>
      <c r="U42" s="1">
        <f>(G42+G41)*8760*3600*(B42-B41)/(2*100)</f>
        <v>7694783.9999999991</v>
      </c>
    </row>
    <row r="43" spans="2:21" x14ac:dyDescent="0.3">
      <c r="B43">
        <v>60</v>
      </c>
      <c r="C43">
        <v>1.79</v>
      </c>
      <c r="D43" s="11">
        <f>IF(AND(C43&gt;2*$C$32,C43-$C$31&lt;$C$32),C43/2,IF(C43&gt;=$C$31,$C$31,IF(C43&lt;$C$32,0,C43)))</f>
        <v>0.89500000000000002</v>
      </c>
      <c r="E43" s="1">
        <f t="shared" si="6"/>
        <v>0.89500000000000002</v>
      </c>
      <c r="F43" s="19">
        <f t="shared" si="7"/>
        <v>0</v>
      </c>
      <c r="G43" s="14">
        <f t="shared" si="8"/>
        <v>1.79</v>
      </c>
      <c r="H43" s="1">
        <f t="shared" si="9"/>
        <v>174.519385</v>
      </c>
      <c r="I43" s="1">
        <f>D43/$C$29</f>
        <v>0.57928802588996764</v>
      </c>
      <c r="J43" s="1">
        <f>E43/$C$29</f>
        <v>0.57928802588996764</v>
      </c>
      <c r="K43" s="2">
        <f t="shared" si="10"/>
        <v>0</v>
      </c>
      <c r="L43">
        <v>0.78</v>
      </c>
      <c r="M43">
        <v>0.78</v>
      </c>
      <c r="N43" s="2">
        <v>0</v>
      </c>
      <c r="O43" s="1">
        <f>$M$1*$M$2*D43*H43*L43/1000000</f>
        <v>1.1939534301513</v>
      </c>
      <c r="P43" s="1">
        <f>$M$1*$M$2*E43*H43*M43/1000000</f>
        <v>1.1939534301513</v>
      </c>
      <c r="Q43" s="2">
        <f t="shared" si="13"/>
        <v>0</v>
      </c>
      <c r="R43" s="14">
        <f t="shared" si="12"/>
        <v>2.3879068603025999</v>
      </c>
      <c r="S43" s="1">
        <f>(R43+R42)*(B43-B42)*8760/(2*100)</f>
        <v>2344.0790557034884</v>
      </c>
      <c r="U43" s="1">
        <f>(G43+G42)*8760*3600*(B43-B42)/(2*100)</f>
        <v>6117983.9999999991</v>
      </c>
    </row>
    <row r="44" spans="2:21" x14ac:dyDescent="0.3">
      <c r="B44">
        <v>70</v>
      </c>
      <c r="C44">
        <v>1.59</v>
      </c>
      <c r="D44" s="11">
        <f t="shared" si="5"/>
        <v>0.79500000000000004</v>
      </c>
      <c r="E44" s="1">
        <f t="shared" si="6"/>
        <v>0.79500000000000004</v>
      </c>
      <c r="F44" s="19">
        <f t="shared" si="7"/>
        <v>0</v>
      </c>
      <c r="G44" s="14">
        <f t="shared" si="8"/>
        <v>1.59</v>
      </c>
      <c r="H44" s="1">
        <f t="shared" si="9"/>
        <v>174.62078500000001</v>
      </c>
      <c r="I44" s="1">
        <f>D44/$C$29</f>
        <v>0.51456310679611661</v>
      </c>
      <c r="J44" s="1">
        <f>E44/$C$29</f>
        <v>0.51456310679611661</v>
      </c>
      <c r="K44" s="2">
        <f t="shared" si="10"/>
        <v>0</v>
      </c>
      <c r="L44">
        <v>0.75</v>
      </c>
      <c r="M44">
        <v>0.75</v>
      </c>
      <c r="N44" s="2">
        <v>0</v>
      </c>
      <c r="O44" s="1">
        <f>$M$1*$M$2*D44*H44*L44/1000000</f>
        <v>1.0203529019512501</v>
      </c>
      <c r="P44" s="1">
        <f>$M$1*$M$2*E44*H44*M44/1000000</f>
        <v>1.0203529019512501</v>
      </c>
      <c r="Q44" s="2">
        <f t="shared" si="13"/>
        <v>0</v>
      </c>
      <c r="R44" s="14">
        <f t="shared" si="12"/>
        <v>2.0407058039025001</v>
      </c>
      <c r="S44" s="1">
        <f>(R44+R43)*(B44-B43)*8760/(2*100)</f>
        <v>1939.7323469218338</v>
      </c>
      <c r="U44" s="1">
        <f>(G44+G43)*8760*3600*(B44-B43)/(2*100)</f>
        <v>5329584</v>
      </c>
    </row>
    <row r="45" spans="2:21" x14ac:dyDescent="0.3">
      <c r="B45">
        <v>80</v>
      </c>
      <c r="C45">
        <v>1.49</v>
      </c>
      <c r="D45" s="1">
        <f t="shared" si="5"/>
        <v>1.49</v>
      </c>
      <c r="E45" s="19">
        <f t="shared" si="6"/>
        <v>0</v>
      </c>
      <c r="F45" s="19">
        <f t="shared" si="7"/>
        <v>0</v>
      </c>
      <c r="G45" s="14">
        <f t="shared" si="8"/>
        <v>1.49</v>
      </c>
      <c r="H45" s="1">
        <f t="shared" si="9"/>
        <v>174.66698500000001</v>
      </c>
      <c r="I45" s="1">
        <f>D45/$C$29</f>
        <v>0.96440129449838197</v>
      </c>
      <c r="J45" s="2">
        <f>E45/$C$29</f>
        <v>0</v>
      </c>
      <c r="K45" s="2">
        <f t="shared" si="10"/>
        <v>0</v>
      </c>
      <c r="L45">
        <v>0.87</v>
      </c>
      <c r="M45">
        <v>0</v>
      </c>
      <c r="N45" s="2">
        <v>0</v>
      </c>
      <c r="O45" s="1">
        <f>$M$1*$M$2*D45*H45*L45/1000000</f>
        <v>2.2189239640239</v>
      </c>
      <c r="P45" s="2">
        <f>$M$1*$M$2*E45*H45*M45/1000000</f>
        <v>0</v>
      </c>
      <c r="Q45" s="2">
        <f t="shared" si="13"/>
        <v>0</v>
      </c>
      <c r="R45" s="14">
        <f t="shared" si="12"/>
        <v>2.2189239640239</v>
      </c>
      <c r="S45" s="1">
        <f>(R45+R44)*(B45-B44)*8760/(2*100)</f>
        <v>1865.7178383517632</v>
      </c>
      <c r="U45" s="1">
        <f>(G45+G44)*8760*3600*(B45-B44)/(2*100)</f>
        <v>4856544</v>
      </c>
    </row>
    <row r="46" spans="2:21" x14ac:dyDescent="0.3">
      <c r="B46">
        <v>90</v>
      </c>
      <c r="C46">
        <v>1.19</v>
      </c>
      <c r="D46" s="1">
        <f t="shared" si="5"/>
        <v>1.19</v>
      </c>
      <c r="E46" s="19">
        <f t="shared" si="6"/>
        <v>0</v>
      </c>
      <c r="F46" s="19">
        <f t="shared" si="7"/>
        <v>0</v>
      </c>
      <c r="G46" s="14">
        <f t="shared" si="8"/>
        <v>1.19</v>
      </c>
      <c r="H46" s="1">
        <f t="shared" si="9"/>
        <v>174.78758500000001</v>
      </c>
      <c r="I46" s="1">
        <f>D46/$C$29</f>
        <v>0.77022653721682843</v>
      </c>
      <c r="J46" s="2">
        <f>E46/$C$29</f>
        <v>0</v>
      </c>
      <c r="K46" s="2">
        <f t="shared" si="10"/>
        <v>0</v>
      </c>
      <c r="L46">
        <v>0.85</v>
      </c>
      <c r="M46" s="2">
        <v>0</v>
      </c>
      <c r="N46" s="2">
        <v>0</v>
      </c>
      <c r="O46" s="1">
        <f>$M$1*$M$2*D46*H46*L46/1000000</f>
        <v>1.7326168938295001</v>
      </c>
      <c r="P46" s="2">
        <f>$M$1*$M$2*E46*H46*M46/1000000</f>
        <v>0</v>
      </c>
      <c r="Q46" s="2">
        <f t="shared" si="13"/>
        <v>0</v>
      </c>
      <c r="R46" s="14">
        <f t="shared" si="12"/>
        <v>1.7326168938295001</v>
      </c>
      <c r="S46" s="1">
        <f>(R46+R45)*(B46-B45)*8760/(2*100)</f>
        <v>1730.7748957397896</v>
      </c>
      <c r="U46" s="1">
        <f>(G46+G45)*8760*3600*(B46-B45)/(2*100)</f>
        <v>4225824</v>
      </c>
    </row>
    <row r="47" spans="2:21" x14ac:dyDescent="0.3">
      <c r="B47">
        <v>100</v>
      </c>
      <c r="C47">
        <v>0.09</v>
      </c>
      <c r="D47" s="19">
        <f t="shared" si="5"/>
        <v>0</v>
      </c>
      <c r="E47" s="19">
        <f t="shared" si="6"/>
        <v>0</v>
      </c>
      <c r="F47" s="19">
        <f t="shared" si="7"/>
        <v>0</v>
      </c>
      <c r="G47" s="8">
        <f t="shared" si="8"/>
        <v>0</v>
      </c>
      <c r="H47" s="1">
        <f t="shared" si="9"/>
        <v>175</v>
      </c>
      <c r="I47" s="2">
        <f>D47/$C$29</f>
        <v>0</v>
      </c>
      <c r="J47" s="2">
        <f>E47/$C$29</f>
        <v>0</v>
      </c>
      <c r="K47" s="2">
        <f t="shared" si="10"/>
        <v>0</v>
      </c>
      <c r="L47">
        <v>0</v>
      </c>
      <c r="M47" s="2">
        <v>0</v>
      </c>
      <c r="N47" s="2">
        <v>0</v>
      </c>
      <c r="O47" s="2">
        <f>$M$1*$M$2*D47*H47*L47/1000000</f>
        <v>0</v>
      </c>
      <c r="P47" s="2">
        <f>$M$1*$M$2*E47*H47*M47/1000000</f>
        <v>0</v>
      </c>
      <c r="Q47" s="2">
        <f t="shared" si="13"/>
        <v>0</v>
      </c>
      <c r="R47" s="8">
        <f t="shared" si="12"/>
        <v>0</v>
      </c>
      <c r="S47" s="1">
        <f>(R47+R46)*(B47-B46)*8760/(2*100)</f>
        <v>758.88619949732106</v>
      </c>
      <c r="U47" s="1">
        <f>(G47+G46)*8760*3600*(B47-B46)/(2*100)</f>
        <v>1876392</v>
      </c>
    </row>
    <row r="49" spans="18:22" x14ac:dyDescent="0.3">
      <c r="R49" s="18" t="s">
        <v>54</v>
      </c>
      <c r="S49" s="14">
        <f>SUM(S38:S47)</f>
        <v>32011.698874096161</v>
      </c>
      <c r="T49" t="s">
        <v>53</v>
      </c>
      <c r="U49" s="1">
        <f>SUM(U38:U47)/1000000</f>
        <v>81.411366599999994</v>
      </c>
      <c r="V49" t="s">
        <v>59</v>
      </c>
    </row>
    <row r="50" spans="18:22" x14ac:dyDescent="0.3">
      <c r="R50" t="s">
        <v>57</v>
      </c>
      <c r="S50" s="5">
        <f>S49/(8760*3*C33)</f>
        <v>0.53896582752459876</v>
      </c>
      <c r="U50" s="18" t="s">
        <v>60</v>
      </c>
      <c r="V50" s="5">
        <f>U49/'1ο ερωτημα'!Q3</f>
        <v>0.77132773109243702</v>
      </c>
    </row>
    <row r="71" spans="2:9" x14ac:dyDescent="0.3">
      <c r="B71" t="s">
        <v>77</v>
      </c>
    </row>
    <row r="72" spans="2:9" x14ac:dyDescent="0.3">
      <c r="C72" s="20">
        <v>0.8</v>
      </c>
    </row>
    <row r="73" spans="2:9" x14ac:dyDescent="0.3">
      <c r="F73" t="s">
        <v>46</v>
      </c>
    </row>
    <row r="74" spans="2:9" x14ac:dyDescent="0.3">
      <c r="B74" t="s">
        <v>79</v>
      </c>
      <c r="C74">
        <f>C2-C75</f>
        <v>0.61799999999999988</v>
      </c>
      <c r="D74" s="2" t="s">
        <v>20</v>
      </c>
      <c r="F74">
        <f>0.83</f>
        <v>0.83</v>
      </c>
      <c r="H74" t="s">
        <v>91</v>
      </c>
      <c r="I74" s="9">
        <f>M1*M2*C75*G2*F75/1000000</f>
        <v>3.6581618470975195</v>
      </c>
    </row>
    <row r="75" spans="2:9" x14ac:dyDescent="0.3">
      <c r="B75" t="s">
        <v>78</v>
      </c>
      <c r="C75">
        <f>C72*C2</f>
        <v>2.472</v>
      </c>
      <c r="D75" s="2" t="s">
        <v>20</v>
      </c>
      <c r="E75" s="2"/>
      <c r="F75">
        <v>0.87</v>
      </c>
      <c r="H75" t="s">
        <v>97</v>
      </c>
      <c r="I75" s="9">
        <f>M1*M2*C74*G2*F74/1000000</f>
        <v>0.87249262445141962</v>
      </c>
    </row>
    <row r="76" spans="2:9" x14ac:dyDescent="0.3">
      <c r="B76" s="18" t="s">
        <v>80</v>
      </c>
      <c r="C76">
        <f>1.15*C75</f>
        <v>2.8427999999999995</v>
      </c>
    </row>
    <row r="77" spans="2:9" x14ac:dyDescent="0.3">
      <c r="B77" s="18" t="s">
        <v>81</v>
      </c>
      <c r="C77">
        <f>0.5*C75</f>
        <v>1.236</v>
      </c>
    </row>
    <row r="78" spans="2:9" x14ac:dyDescent="0.3">
      <c r="B78" s="18" t="s">
        <v>82</v>
      </c>
      <c r="C78">
        <f>1.15*C74</f>
        <v>0.71069999999999978</v>
      </c>
    </row>
    <row r="79" spans="2:9" x14ac:dyDescent="0.3">
      <c r="B79" s="18" t="s">
        <v>83</v>
      </c>
      <c r="C79">
        <f>0.15*C74</f>
        <v>9.2699999999999977E-2</v>
      </c>
    </row>
    <row r="82" spans="3:24" x14ac:dyDescent="0.3">
      <c r="C82" t="s">
        <v>35</v>
      </c>
      <c r="D82" t="s">
        <v>36</v>
      </c>
      <c r="E82" t="s">
        <v>84</v>
      </c>
      <c r="F82" t="s">
        <v>85</v>
      </c>
      <c r="G82" t="s">
        <v>71</v>
      </c>
      <c r="H82" t="s">
        <v>86</v>
      </c>
      <c r="I82" t="s">
        <v>89</v>
      </c>
      <c r="J82" t="s">
        <v>90</v>
      </c>
      <c r="K82" t="s">
        <v>87</v>
      </c>
      <c r="L82" t="s">
        <v>88</v>
      </c>
      <c r="M82" t="s">
        <v>92</v>
      </c>
      <c r="N82" t="s">
        <v>93</v>
      </c>
      <c r="O82" t="s">
        <v>94</v>
      </c>
      <c r="P82" t="s">
        <v>95</v>
      </c>
      <c r="R82" t="s">
        <v>96</v>
      </c>
    </row>
    <row r="83" spans="3:24" x14ac:dyDescent="0.3">
      <c r="C83">
        <v>0</v>
      </c>
      <c r="D83">
        <v>11.69</v>
      </c>
      <c r="E83" s="1">
        <f>IF(D83&gt;=$C$76,$C$76,IF(D83&lt;$C$77,0,D83))</f>
        <v>2.8427999999999995</v>
      </c>
      <c r="F83" s="1">
        <f>IF(D83-E83&gt;=$C$78,$C$78,IF(D83-E83&lt;$C$79,0,D83-E83))</f>
        <v>0.71069999999999978</v>
      </c>
      <c r="G83" s="14">
        <f>E83+F83</f>
        <v>3.5534999999999992</v>
      </c>
      <c r="H83" s="14">
        <f>$C$1-$G$1*G83</f>
        <v>174.46697499999999</v>
      </c>
      <c r="I83" s="14">
        <f>E83/$C$75</f>
        <v>1.1499999999999999</v>
      </c>
      <c r="J83" s="14">
        <f>F83/$C$74</f>
        <v>1.1499999999999999</v>
      </c>
      <c r="K83">
        <v>0.85</v>
      </c>
      <c r="L83">
        <v>0.8</v>
      </c>
      <c r="M83" s="9">
        <f>$M$1*$M$2*E83*H83*K83/1000000</f>
        <v>4.1314693886948985</v>
      </c>
      <c r="N83" s="9">
        <f>$M$1*$M$2*F83*H83*L83/1000000</f>
        <v>0.97211044439879979</v>
      </c>
      <c r="O83" s="9">
        <f>M83+N83</f>
        <v>5.1035798330936988</v>
      </c>
    </row>
    <row r="84" spans="3:24" x14ac:dyDescent="0.3">
      <c r="C84">
        <v>10</v>
      </c>
      <c r="D84">
        <v>5.49</v>
      </c>
      <c r="E84" s="1">
        <f t="shared" ref="E84:E93" si="14">IF(D84&gt;=$C$76,$C$76,IF(D84&lt;$C$77,0,D84))</f>
        <v>2.8427999999999995</v>
      </c>
      <c r="F84" s="1">
        <f t="shared" ref="F84:F93" si="15">IF(D84-E84&gt;=$C$78,$C$78,IF(D84-E84&lt;$C$79,0,D84-E84))</f>
        <v>0.71069999999999978</v>
      </c>
      <c r="G84" s="14">
        <f t="shared" ref="G84:G93" si="16">E84+F84</f>
        <v>3.5534999999999992</v>
      </c>
      <c r="H84" s="14">
        <f t="shared" ref="H84:H93" si="17">$C$1-$G$1*G84</f>
        <v>174.46697499999999</v>
      </c>
      <c r="I84" s="14">
        <f t="shared" ref="I84:I93" si="18">E84/$C$75</f>
        <v>1.1499999999999999</v>
      </c>
      <c r="J84" s="14">
        <f t="shared" ref="J84:J93" si="19">F84/$C$74</f>
        <v>1.1499999999999999</v>
      </c>
      <c r="K84" s="2">
        <v>0.85</v>
      </c>
      <c r="L84" s="2">
        <v>0.8</v>
      </c>
      <c r="M84" s="9">
        <f t="shared" ref="M84:M93" si="20">$M$1*$M$2*E84*H84*K84/1000000</f>
        <v>4.1314693886948985</v>
      </c>
      <c r="N84" s="9">
        <f t="shared" ref="N84:N93" si="21">$M$1*$M$2*F84*H84*L84/1000000</f>
        <v>0.97211044439879979</v>
      </c>
      <c r="O84" s="9">
        <f t="shared" ref="O84:O93" si="22">M84+N84</f>
        <v>5.1035798330936988</v>
      </c>
      <c r="P84" s="9">
        <f>(O83+O84)*(C84-C83)*8760/(2*100)</f>
        <v>4470.7359337900798</v>
      </c>
      <c r="R84">
        <f>(G83+G84)*8760*3600*(C84-C83)/(2*100)</f>
        <v>11206317.599999998</v>
      </c>
    </row>
    <row r="85" spans="3:24" x14ac:dyDescent="0.3">
      <c r="C85">
        <v>20</v>
      </c>
      <c r="D85">
        <v>3.79</v>
      </c>
      <c r="E85" s="1">
        <f t="shared" si="14"/>
        <v>2.8427999999999995</v>
      </c>
      <c r="F85" s="1">
        <f t="shared" si="15"/>
        <v>0.71069999999999978</v>
      </c>
      <c r="G85" s="14">
        <f t="shared" si="16"/>
        <v>3.5534999999999992</v>
      </c>
      <c r="H85" s="14">
        <f t="shared" si="17"/>
        <v>174.46697499999999</v>
      </c>
      <c r="I85" s="14">
        <f t="shared" si="18"/>
        <v>1.1499999999999999</v>
      </c>
      <c r="J85" s="14">
        <f t="shared" si="19"/>
        <v>1.1499999999999999</v>
      </c>
      <c r="K85" s="2">
        <v>0.85</v>
      </c>
      <c r="L85" s="2">
        <v>0.8</v>
      </c>
      <c r="M85" s="9">
        <f t="shared" si="20"/>
        <v>4.1314693886948985</v>
      </c>
      <c r="N85" s="9">
        <f t="shared" si="21"/>
        <v>0.97211044439879979</v>
      </c>
      <c r="O85" s="9">
        <f t="shared" si="22"/>
        <v>5.1035798330936988</v>
      </c>
      <c r="P85" s="9">
        <f t="shared" ref="P85:P93" si="23">(O84+O85)*(C85-C84)*8760/(2*100)</f>
        <v>4470.7359337900798</v>
      </c>
      <c r="R85" s="2">
        <f t="shared" ref="R85:R93" si="24">(G84+G85)*8760*3600*(C85-C84)/(2*100)</f>
        <v>11206317.599999998</v>
      </c>
    </row>
    <row r="86" spans="3:24" x14ac:dyDescent="0.3">
      <c r="C86">
        <v>30</v>
      </c>
      <c r="D86">
        <v>3.09</v>
      </c>
      <c r="E86" s="1">
        <f t="shared" si="14"/>
        <v>2.8427999999999995</v>
      </c>
      <c r="F86" s="1">
        <f t="shared" si="15"/>
        <v>0.24720000000000031</v>
      </c>
      <c r="G86" s="14">
        <f t="shared" si="16"/>
        <v>3.09</v>
      </c>
      <c r="H86" s="14">
        <f t="shared" si="17"/>
        <v>174.53649999999999</v>
      </c>
      <c r="I86" s="14">
        <f t="shared" si="18"/>
        <v>1.1499999999999999</v>
      </c>
      <c r="J86" s="14">
        <f t="shared" si="19"/>
        <v>0.40000000000000058</v>
      </c>
      <c r="K86" s="2">
        <v>0.85</v>
      </c>
      <c r="L86">
        <v>0.88</v>
      </c>
      <c r="M86" s="9">
        <f t="shared" si="20"/>
        <v>4.1331157771259992</v>
      </c>
      <c r="N86" s="9">
        <f t="shared" si="21"/>
        <v>0.3720861262272005</v>
      </c>
      <c r="O86" s="9">
        <f t="shared" si="22"/>
        <v>4.5052019033531998</v>
      </c>
      <c r="P86" s="9">
        <f t="shared" si="23"/>
        <v>4208.6464005637417</v>
      </c>
      <c r="R86" s="2">
        <f t="shared" si="24"/>
        <v>10475470.800000001</v>
      </c>
    </row>
    <row r="87" spans="3:24" x14ac:dyDescent="0.3">
      <c r="C87">
        <v>40</v>
      </c>
      <c r="D87">
        <v>2.79</v>
      </c>
      <c r="E87" s="1">
        <f t="shared" si="14"/>
        <v>2.79</v>
      </c>
      <c r="F87" s="2">
        <f t="shared" si="15"/>
        <v>0</v>
      </c>
      <c r="G87" s="14">
        <f t="shared" si="16"/>
        <v>2.79</v>
      </c>
      <c r="H87" s="14">
        <f t="shared" si="17"/>
        <v>174.58150000000001</v>
      </c>
      <c r="I87" s="14">
        <f t="shared" si="18"/>
        <v>1.1286407766990292</v>
      </c>
      <c r="J87" s="8">
        <f t="shared" si="19"/>
        <v>0</v>
      </c>
      <c r="K87" s="2">
        <v>0.85</v>
      </c>
      <c r="L87">
        <v>0</v>
      </c>
      <c r="M87" s="9">
        <f t="shared" si="20"/>
        <v>4.0573962670500006</v>
      </c>
      <c r="N87" s="9">
        <f t="shared" si="21"/>
        <v>0</v>
      </c>
      <c r="O87" s="9">
        <f t="shared" si="22"/>
        <v>4.0573962670500006</v>
      </c>
      <c r="P87" s="9">
        <f t="shared" si="23"/>
        <v>3750.4179986366016</v>
      </c>
      <c r="R87" s="2">
        <f t="shared" si="24"/>
        <v>9271583.9999999981</v>
      </c>
    </row>
    <row r="88" spans="3:24" x14ac:dyDescent="0.3">
      <c r="C88">
        <v>50</v>
      </c>
      <c r="D88">
        <v>2.09</v>
      </c>
      <c r="E88" s="1">
        <f t="shared" si="14"/>
        <v>2.09</v>
      </c>
      <c r="F88" s="2">
        <f t="shared" si="15"/>
        <v>0</v>
      </c>
      <c r="G88" s="14">
        <f t="shared" si="16"/>
        <v>2.09</v>
      </c>
      <c r="H88" s="14">
        <f t="shared" si="17"/>
        <v>174.6865</v>
      </c>
      <c r="I88" s="14">
        <f t="shared" si="18"/>
        <v>0.84546925566343034</v>
      </c>
      <c r="J88" s="8">
        <f t="shared" si="19"/>
        <v>0</v>
      </c>
      <c r="K88">
        <v>0.85</v>
      </c>
      <c r="L88" s="2">
        <v>0</v>
      </c>
      <c r="M88" s="9">
        <f t="shared" si="20"/>
        <v>3.0412395590499997</v>
      </c>
      <c r="N88" s="9">
        <f t="shared" si="21"/>
        <v>0</v>
      </c>
      <c r="O88" s="9">
        <f t="shared" si="22"/>
        <v>3.0412395590499997</v>
      </c>
      <c r="P88" s="9">
        <f t="shared" si="23"/>
        <v>3109.2024918318002</v>
      </c>
      <c r="R88" s="2">
        <f t="shared" si="24"/>
        <v>7694783.9999999991</v>
      </c>
    </row>
    <row r="89" spans="3:24" x14ac:dyDescent="0.3">
      <c r="C89">
        <v>60</v>
      </c>
      <c r="D89">
        <v>1.7899999999999998</v>
      </c>
      <c r="E89" s="1">
        <f t="shared" si="14"/>
        <v>1.7899999999999998</v>
      </c>
      <c r="F89" s="2">
        <f t="shared" si="15"/>
        <v>0</v>
      </c>
      <c r="G89" s="14">
        <f t="shared" si="16"/>
        <v>1.7899999999999998</v>
      </c>
      <c r="H89" s="14">
        <f t="shared" si="17"/>
        <v>174.73150000000001</v>
      </c>
      <c r="I89" s="14">
        <f t="shared" si="18"/>
        <v>0.72411003236245952</v>
      </c>
      <c r="J89" s="8">
        <f t="shared" si="19"/>
        <v>0</v>
      </c>
      <c r="K89">
        <v>0.84</v>
      </c>
      <c r="L89" s="2">
        <v>0</v>
      </c>
      <c r="M89" s="9">
        <f t="shared" si="20"/>
        <v>2.5747175773199995</v>
      </c>
      <c r="N89" s="9">
        <f t="shared" si="21"/>
        <v>0</v>
      </c>
      <c r="O89" s="9">
        <f t="shared" si="22"/>
        <v>2.5747175773199995</v>
      </c>
      <c r="P89" s="9">
        <f t="shared" si="23"/>
        <v>2459.78922573006</v>
      </c>
      <c r="R89" s="2">
        <f t="shared" si="24"/>
        <v>6117983.9999999991</v>
      </c>
    </row>
    <row r="90" spans="3:24" x14ac:dyDescent="0.3">
      <c r="C90">
        <v>70</v>
      </c>
      <c r="D90">
        <v>1.59</v>
      </c>
      <c r="E90" s="1">
        <f t="shared" si="14"/>
        <v>1.59</v>
      </c>
      <c r="F90" s="2">
        <f t="shared" si="15"/>
        <v>0</v>
      </c>
      <c r="G90" s="14">
        <f t="shared" si="16"/>
        <v>1.59</v>
      </c>
      <c r="H90" s="14">
        <f t="shared" si="17"/>
        <v>174.76150000000001</v>
      </c>
      <c r="I90" s="14">
        <f t="shared" si="18"/>
        <v>0.64320388349514568</v>
      </c>
      <c r="J90" s="8">
        <f t="shared" si="19"/>
        <v>0</v>
      </c>
      <c r="K90">
        <v>0.82</v>
      </c>
      <c r="L90" s="2">
        <v>0</v>
      </c>
      <c r="M90" s="9">
        <f t="shared" si="20"/>
        <v>2.2329696282599998</v>
      </c>
      <c r="N90" s="9">
        <f t="shared" si="21"/>
        <v>0</v>
      </c>
      <c r="O90" s="9">
        <f t="shared" si="22"/>
        <v>2.2329696282599998</v>
      </c>
      <c r="P90" s="9">
        <f t="shared" si="23"/>
        <v>2105.7669960440394</v>
      </c>
      <c r="R90" s="2">
        <f t="shared" si="24"/>
        <v>5329584</v>
      </c>
    </row>
    <row r="91" spans="3:24" x14ac:dyDescent="0.3">
      <c r="C91">
        <v>80</v>
      </c>
      <c r="D91">
        <v>1.49</v>
      </c>
      <c r="E91" s="1">
        <f t="shared" si="14"/>
        <v>1.49</v>
      </c>
      <c r="F91" s="2">
        <f t="shared" si="15"/>
        <v>0</v>
      </c>
      <c r="G91" s="14">
        <f t="shared" si="16"/>
        <v>1.49</v>
      </c>
      <c r="H91" s="14">
        <f t="shared" si="17"/>
        <v>174.7765</v>
      </c>
      <c r="I91" s="14">
        <f t="shared" si="18"/>
        <v>0.6027508090614887</v>
      </c>
      <c r="J91" s="8">
        <f t="shared" si="19"/>
        <v>0</v>
      </c>
      <c r="K91">
        <v>0.8</v>
      </c>
      <c r="L91" s="2">
        <v>0</v>
      </c>
      <c r="M91" s="9">
        <f t="shared" si="20"/>
        <v>2.0416691624000003</v>
      </c>
      <c r="N91" s="9">
        <f t="shared" si="21"/>
        <v>0</v>
      </c>
      <c r="O91" s="9">
        <f t="shared" si="22"/>
        <v>2.0416691624000003</v>
      </c>
      <c r="P91" s="9">
        <f t="shared" si="23"/>
        <v>1872.2917903090802</v>
      </c>
      <c r="R91" s="2">
        <f t="shared" si="24"/>
        <v>4856544</v>
      </c>
    </row>
    <row r="92" spans="3:24" x14ac:dyDescent="0.3">
      <c r="C92">
        <v>90</v>
      </c>
      <c r="D92">
        <v>1.19</v>
      </c>
      <c r="E92" s="2">
        <f t="shared" si="14"/>
        <v>0</v>
      </c>
      <c r="F92" s="1">
        <f t="shared" si="15"/>
        <v>0.71069999999999978</v>
      </c>
      <c r="G92" s="14">
        <f t="shared" si="16"/>
        <v>0.71069999999999978</v>
      </c>
      <c r="H92" s="14">
        <f t="shared" si="17"/>
        <v>174.893395</v>
      </c>
      <c r="I92" s="8">
        <f t="shared" si="18"/>
        <v>0</v>
      </c>
      <c r="J92" s="14">
        <f t="shared" si="19"/>
        <v>1.1499999999999999</v>
      </c>
      <c r="K92">
        <v>0</v>
      </c>
      <c r="L92">
        <v>0.8</v>
      </c>
      <c r="M92" s="2">
        <f t="shared" si="20"/>
        <v>0</v>
      </c>
      <c r="N92" s="9">
        <f t="shared" si="21"/>
        <v>0.97448640887975968</v>
      </c>
      <c r="O92" s="9">
        <f t="shared" si="22"/>
        <v>0.97448640887975968</v>
      </c>
      <c r="P92" s="9">
        <f t="shared" si="23"/>
        <v>1321.0761402205349</v>
      </c>
      <c r="R92" s="2">
        <f t="shared" si="24"/>
        <v>3470063.7599999993</v>
      </c>
    </row>
    <row r="93" spans="3:24" x14ac:dyDescent="0.3">
      <c r="C93">
        <v>100</v>
      </c>
      <c r="D93">
        <v>0.09</v>
      </c>
      <c r="E93" s="2">
        <f t="shared" si="14"/>
        <v>0</v>
      </c>
      <c r="F93" s="2">
        <f t="shared" si="15"/>
        <v>0</v>
      </c>
      <c r="G93" s="8">
        <f t="shared" si="16"/>
        <v>0</v>
      </c>
      <c r="H93" s="14">
        <f t="shared" si="17"/>
        <v>175</v>
      </c>
      <c r="I93" s="8">
        <f t="shared" si="18"/>
        <v>0</v>
      </c>
      <c r="J93" s="8">
        <f t="shared" si="19"/>
        <v>0</v>
      </c>
      <c r="K93">
        <v>0</v>
      </c>
      <c r="L93">
        <v>0</v>
      </c>
      <c r="M93" s="2">
        <f t="shared" si="20"/>
        <v>0</v>
      </c>
      <c r="N93" s="9">
        <f t="shared" si="21"/>
        <v>0</v>
      </c>
      <c r="O93" s="9">
        <f t="shared" si="22"/>
        <v>0</v>
      </c>
      <c r="P93" s="9">
        <f t="shared" si="23"/>
        <v>426.82504708933476</v>
      </c>
      <c r="R93" s="2">
        <f t="shared" si="24"/>
        <v>1120631.7599999995</v>
      </c>
      <c r="S93" s="18"/>
      <c r="T93" s="1"/>
      <c r="U93" s="2"/>
      <c r="V93" s="1"/>
      <c r="W93" s="2"/>
      <c r="X93" s="2"/>
    </row>
    <row r="94" spans="3:24" x14ac:dyDescent="0.3">
      <c r="R94" s="2"/>
      <c r="S94" s="5"/>
      <c r="T94" s="2"/>
      <c r="U94" s="2"/>
      <c r="V94" s="2"/>
      <c r="W94" s="18"/>
      <c r="X94" s="5"/>
    </row>
    <row r="95" spans="3:24" x14ac:dyDescent="0.3">
      <c r="O95" s="18" t="s">
        <v>54</v>
      </c>
      <c r="P95" s="9">
        <f>SUM(P84:P93)</f>
        <v>28195.487958005353</v>
      </c>
      <c r="Q95" t="s">
        <v>53</v>
      </c>
      <c r="R95" s="9">
        <f>SUM(R84:R93)/1000000</f>
        <v>70.749281519999997</v>
      </c>
      <c r="S95" t="s">
        <v>59</v>
      </c>
    </row>
    <row r="96" spans="3:24" x14ac:dyDescent="0.3">
      <c r="O96" t="s">
        <v>57</v>
      </c>
      <c r="P96" s="5">
        <f>P95/(8760*(I74+I75))</f>
        <v>0.71041899776663509</v>
      </c>
      <c r="R96" s="18" t="s">
        <v>60</v>
      </c>
      <c r="S96" s="5">
        <f>R95/'1ο ερωτημα'!Q3</f>
        <v>0.67031036414565837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1ο ερωτημα</vt:lpstr>
      <vt:lpstr>2ο ερωτημα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2021-12-07T15:48:11Z</dcterms:created>
  <dcterms:modified xsi:type="dcterms:W3CDTF">2021-12-11T14:43:14Z</dcterms:modified>
</cp:coreProperties>
</file>