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 activeTab="1"/>
  </bookViews>
  <sheets>
    <sheet name="ερώτημα 2" sheetId="1" r:id="rId1"/>
    <sheet name="ερώτημα 3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2" l="1"/>
  <c r="AA10" i="2"/>
  <c r="AA11" i="2"/>
  <c r="AA12" i="2"/>
  <c r="AA13" i="2"/>
  <c r="AA14" i="2"/>
  <c r="AA15" i="2"/>
  <c r="AA16" i="2"/>
  <c r="AA17" i="2"/>
  <c r="AA18" i="2"/>
  <c r="AA19" i="2"/>
  <c r="AA20" i="2"/>
  <c r="AA9" i="2"/>
  <c r="Z10" i="2"/>
  <c r="Z11" i="2"/>
  <c r="Z12" i="2"/>
  <c r="Z13" i="2"/>
  <c r="Z14" i="2"/>
  <c r="Z15" i="2"/>
  <c r="Z16" i="2"/>
  <c r="Z17" i="2"/>
  <c r="Z18" i="2"/>
  <c r="Z19" i="2"/>
  <c r="Z20" i="2"/>
  <c r="Z9" i="2"/>
  <c r="R9" i="2"/>
  <c r="V22" i="2"/>
  <c r="V10" i="2"/>
  <c r="V11" i="2"/>
  <c r="V12" i="2"/>
  <c r="V13" i="2"/>
  <c r="V14" i="2"/>
  <c r="V15" i="2"/>
  <c r="V16" i="2"/>
  <c r="V17" i="2"/>
  <c r="V18" i="2"/>
  <c r="V19" i="2"/>
  <c r="V20" i="2"/>
  <c r="V9" i="2"/>
  <c r="T9" i="2"/>
  <c r="S9" i="2"/>
  <c r="S2" i="2"/>
  <c r="R2" i="2"/>
  <c r="K10" i="2"/>
  <c r="K11" i="2"/>
  <c r="K12" i="2"/>
  <c r="K13" i="2"/>
  <c r="K14" i="2"/>
  <c r="K15" i="2"/>
  <c r="K16" i="2"/>
  <c r="K17" i="2"/>
  <c r="K18" i="2"/>
  <c r="K19" i="2"/>
  <c r="K20" i="2"/>
  <c r="K9" i="2"/>
  <c r="H7" i="1"/>
  <c r="S22" i="2" l="1"/>
  <c r="R23" i="2" s="1"/>
  <c r="K22" i="2"/>
  <c r="B2" i="2" l="1"/>
  <c r="K2" i="2"/>
  <c r="H2" i="2"/>
  <c r="M13" i="2" l="1"/>
  <c r="N13" i="2" s="1"/>
  <c r="P13" i="2" s="1"/>
  <c r="Q13" i="2" s="1"/>
  <c r="H13" i="2"/>
  <c r="J13" i="2" s="1"/>
  <c r="L10" i="2"/>
  <c r="L11" i="2"/>
  <c r="L12" i="2"/>
  <c r="L13" i="2"/>
  <c r="L14" i="2"/>
  <c r="L15" i="2"/>
  <c r="L16" i="2"/>
  <c r="L17" i="2"/>
  <c r="L18" i="2"/>
  <c r="L19" i="2"/>
  <c r="L20" i="2"/>
  <c r="L9" i="2"/>
  <c r="E3" i="2"/>
  <c r="E2" i="2"/>
  <c r="B3" i="2"/>
  <c r="I10" i="2"/>
  <c r="I11" i="2"/>
  <c r="I12" i="2"/>
  <c r="I13" i="2"/>
  <c r="I14" i="2"/>
  <c r="I15" i="2"/>
  <c r="I16" i="2"/>
  <c r="I17" i="2"/>
  <c r="I18" i="2"/>
  <c r="I19" i="2"/>
  <c r="I20" i="2"/>
  <c r="I9" i="2"/>
  <c r="F10" i="2"/>
  <c r="F11" i="2"/>
  <c r="F12" i="2"/>
  <c r="F13" i="2"/>
  <c r="F14" i="2"/>
  <c r="F15" i="2"/>
  <c r="F16" i="2"/>
  <c r="F17" i="2"/>
  <c r="F18" i="2"/>
  <c r="F19" i="2"/>
  <c r="F20" i="2"/>
  <c r="F9" i="2"/>
  <c r="R13" i="2" l="1"/>
  <c r="S13" i="2" s="1"/>
  <c r="T13" i="2" s="1"/>
  <c r="H9" i="2"/>
  <c r="J9" i="2" s="1"/>
  <c r="H12" i="2"/>
  <c r="H19" i="2"/>
  <c r="J19" i="2" s="1"/>
  <c r="H11" i="2"/>
  <c r="M14" i="2"/>
  <c r="N14" i="2" s="1"/>
  <c r="P14" i="2" s="1"/>
  <c r="Q14" i="2" s="1"/>
  <c r="H18" i="2"/>
  <c r="J18" i="2" s="1"/>
  <c r="H10" i="2"/>
  <c r="J10" i="2" s="1"/>
  <c r="M12" i="2"/>
  <c r="N12" i="2" s="1"/>
  <c r="P12" i="2" s="1"/>
  <c r="Q12" i="2" s="1"/>
  <c r="M19" i="2"/>
  <c r="N19" i="2" s="1"/>
  <c r="P19" i="2" s="1"/>
  <c r="Q19" i="2" s="1"/>
  <c r="H17" i="2"/>
  <c r="J17" i="2" s="1"/>
  <c r="M11" i="2"/>
  <c r="N11" i="2" s="1"/>
  <c r="P11" i="2" s="1"/>
  <c r="Q11" i="2" s="1"/>
  <c r="H16" i="2"/>
  <c r="J16" i="2" s="1"/>
  <c r="H15" i="2"/>
  <c r="J15" i="2" s="1"/>
  <c r="H20" i="2"/>
  <c r="J20" i="2" s="1"/>
  <c r="M16" i="2"/>
  <c r="N16" i="2" s="1"/>
  <c r="P16" i="2" s="1"/>
  <c r="Q16" i="2" s="1"/>
  <c r="R16" i="2" s="1"/>
  <c r="S16" i="2" s="1"/>
  <c r="T16" i="2" s="1"/>
  <c r="H14" i="2"/>
  <c r="J14" i="2" s="1"/>
  <c r="M9" i="2"/>
  <c r="N9" i="2" s="1"/>
  <c r="P9" i="2" s="1"/>
  <c r="Q9" i="2" s="1"/>
  <c r="J12" i="2"/>
  <c r="M18" i="2"/>
  <c r="N18" i="2" s="1"/>
  <c r="P18" i="2" s="1"/>
  <c r="Q18" i="2" s="1"/>
  <c r="M10" i="2"/>
  <c r="N10" i="2" s="1"/>
  <c r="P10" i="2" s="1"/>
  <c r="Q10" i="2" s="1"/>
  <c r="J11" i="2"/>
  <c r="M17" i="2"/>
  <c r="N17" i="2" s="1"/>
  <c r="P17" i="2" s="1"/>
  <c r="Q17" i="2" s="1"/>
  <c r="R17" i="2" s="1"/>
  <c r="S17" i="2" s="1"/>
  <c r="T17" i="2" s="1"/>
  <c r="M20" i="2"/>
  <c r="N20" i="2" s="1"/>
  <c r="P20" i="2" s="1"/>
  <c r="Q20" i="2" s="1"/>
  <c r="M15" i="2"/>
  <c r="N15" i="2" s="1"/>
  <c r="P15" i="2" s="1"/>
  <c r="Q15" i="2" s="1"/>
  <c r="H14" i="1"/>
  <c r="H8" i="1"/>
  <c r="H12" i="1" s="1"/>
  <c r="H9" i="1"/>
  <c r="H10" i="1"/>
  <c r="B10" i="1"/>
  <c r="B9" i="1"/>
  <c r="B7" i="1"/>
  <c r="R19" i="2" l="1"/>
  <c r="S19" i="2" s="1"/>
  <c r="T19" i="2" s="1"/>
  <c r="R15" i="2"/>
  <c r="S15" i="2" s="1"/>
  <c r="T15" i="2" s="1"/>
  <c r="R20" i="2"/>
  <c r="S20" i="2" s="1"/>
  <c r="T20" i="2" s="1"/>
  <c r="R12" i="2"/>
  <c r="S12" i="2" s="1"/>
  <c r="T12" i="2" s="1"/>
  <c r="R14" i="2"/>
  <c r="S14" i="2" s="1"/>
  <c r="T14" i="2" s="1"/>
  <c r="R10" i="2"/>
  <c r="S10" i="2" s="1"/>
  <c r="T10" i="2" s="1"/>
  <c r="R18" i="2"/>
  <c r="S18" i="2" s="1"/>
  <c r="T18" i="2" s="1"/>
  <c r="R11" i="2"/>
  <c r="S11" i="2" s="1"/>
  <c r="T11" i="2" s="1"/>
  <c r="Q24" i="2" l="1"/>
  <c r="K24" i="2" l="1"/>
  <c r="Q26" i="2"/>
</calcChain>
</file>

<file path=xl/sharedStrings.xml><?xml version="1.0" encoding="utf-8"?>
<sst xmlns="http://schemas.openxmlformats.org/spreadsheetml/2006/main" count="70" uniqueCount="67">
  <si>
    <t>πληρότητα</t>
  </si>
  <si>
    <t>θερμανση</t>
  </si>
  <si>
    <t>ζεστο νερο</t>
  </si>
  <si>
    <t>κλιματισμος</t>
  </si>
  <si>
    <t>ηλεκτρισμος</t>
  </si>
  <si>
    <t>ετήσια ηλεκτρική κατανάλωση MWh/δωμάτιο (100% πληρότητα)</t>
  </si>
  <si>
    <t xml:space="preserve">ετήσια ηλεκτρική κατανάλωση MWh/δωμάτιο </t>
  </si>
  <si>
    <t>συνολικη ετησια κατανάλωση</t>
  </si>
  <si>
    <t>δωματια</t>
  </si>
  <si>
    <t>MWh</t>
  </si>
  <si>
    <t>β</t>
  </si>
  <si>
    <t>ρ</t>
  </si>
  <si>
    <t>μηνας</t>
  </si>
  <si>
    <t>D αντιπροσωπευτικη μερα</t>
  </si>
  <si>
    <t>φ</t>
  </si>
  <si>
    <t>δ</t>
  </si>
  <si>
    <t>Η(kWh/m^2)</t>
  </si>
  <si>
    <t>kt</t>
  </si>
  <si>
    <t>Hd(kWh/m^2)</t>
  </si>
  <si>
    <t>ωs'</t>
  </si>
  <si>
    <t>Rb</t>
  </si>
  <si>
    <t>ωs</t>
  </si>
  <si>
    <t>HT(kWh/m^2)</t>
  </si>
  <si>
    <t>βm</t>
  </si>
  <si>
    <t>ηr</t>
  </si>
  <si>
    <t>NOCT</t>
  </si>
  <si>
    <t>KELSIOU</t>
  </si>
  <si>
    <t>cf</t>
  </si>
  <si>
    <t>Tc-Ta</t>
  </si>
  <si>
    <t>βp</t>
  </si>
  <si>
    <t>Ta</t>
  </si>
  <si>
    <t>Tc</t>
  </si>
  <si>
    <t>ηp</t>
  </si>
  <si>
    <t>ενεργεια που παιρνω</t>
  </si>
  <si>
    <t>λp</t>
  </si>
  <si>
    <t>καθαρη ενεργεια</t>
  </si>
  <si>
    <t>ετησια εγκατεστημενη ενεργεια</t>
  </si>
  <si>
    <t>kWh/m^2</t>
  </si>
  <si>
    <t>ένα PV</t>
  </si>
  <si>
    <t>ολικη</t>
  </si>
  <si>
    <t>ετησια ενεργεια</t>
  </si>
  <si>
    <t>εμβαδον PV</t>
  </si>
  <si>
    <t>πληθος PV</t>
  </si>
  <si>
    <t>kWh</t>
  </si>
  <si>
    <t>ποσοστο επιτυχιας</t>
  </si>
  <si>
    <t>ΜΙΑ</t>
  </si>
  <si>
    <t>ΙΑΝ</t>
  </si>
  <si>
    <t>ΦΕΒ</t>
  </si>
  <si>
    <t>ΜΑΡ</t>
  </si>
  <si>
    <t>ΑΠΡ</t>
  </si>
  <si>
    <t>ΙΟΥΝ</t>
  </si>
  <si>
    <t>ΙΟΥΛ</t>
  </si>
  <si>
    <t>ΑΥΓ</t>
  </si>
  <si>
    <t>ΣΕΠ</t>
  </si>
  <si>
    <t>ΟΚΤ</t>
  </si>
  <si>
    <t>ΝΟΕ</t>
  </si>
  <si>
    <t>ΔΕΚ</t>
  </si>
  <si>
    <t>παραγομενη ενεργεια</t>
  </si>
  <si>
    <t>κοστος επενδυσης</t>
  </si>
  <si>
    <t>ευρω</t>
  </si>
  <si>
    <t>ετησιο κοστος  ρευματος</t>
  </si>
  <si>
    <t>αποσβεση</t>
  </si>
  <si>
    <t>χρονια</t>
  </si>
  <si>
    <t>συνολικη παραγομενη ενεργεια ανα μηνα</t>
  </si>
  <si>
    <t>pvgis energeia</t>
  </si>
  <si>
    <t>pvgis aktino</t>
  </si>
  <si>
    <t>pvgis apodosh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</si>
</sst>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Μέση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Μηνιαία Ηλιακή Ακτινοβολία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3'!$K$9:$K$20</c:f>
              <c:numCache>
                <c:formatCode>0.00</c:formatCode>
                <c:ptCount val="12"/>
                <c:pt idx="0">
                  <c:v>63.496072501882821</c:v>
                </c:pt>
                <c:pt idx="1">
                  <c:v>87.809691599854716</c:v>
                </c:pt>
                <c:pt idx="2">
                  <c:v>144.19883294921621</c:v>
                </c:pt>
                <c:pt idx="3">
                  <c:v>201.31603644619543</c:v>
                </c:pt>
                <c:pt idx="4">
                  <c:v>267.71515131151386</c:v>
                </c:pt>
                <c:pt idx="5">
                  <c:v>285.66994787495588</c:v>
                </c:pt>
                <c:pt idx="6">
                  <c:v>286.89505612183245</c:v>
                </c:pt>
                <c:pt idx="7">
                  <c:v>265.48023429304885</c:v>
                </c:pt>
                <c:pt idx="8">
                  <c:v>197.58188885888873</c:v>
                </c:pt>
                <c:pt idx="9">
                  <c:v>130.69800627313191</c:v>
                </c:pt>
                <c:pt idx="10">
                  <c:v>83.947500411856439</c:v>
                </c:pt>
                <c:pt idx="11">
                  <c:v>60.66042464120946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9152752"/>
        <c:axId val="-1929156560"/>
      </c:barChart>
      <c:catAx>
        <c:axId val="-192915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56560"/>
        <c:crosses val="autoZero"/>
        <c:auto val="1"/>
        <c:lblAlgn val="ctr"/>
        <c:lblOffset val="100"/>
        <c:noMultiLvlLbl val="0"/>
      </c:catAx>
      <c:valAx>
        <c:axId val="-19291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Ηλιακή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Ακτινοβολία (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kWh/m^2) 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5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Βαθμός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Απόδοσης ενός Φ/Β στοιχείου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3'!$Q$9:$Q$20</c:f>
              <c:numCache>
                <c:formatCode>General</c:formatCode>
                <c:ptCount val="12"/>
                <c:pt idx="0">
                  <c:v>0.14334790212622545</c:v>
                </c:pt>
                <c:pt idx="1">
                  <c:v>0.14157152586896724</c:v>
                </c:pt>
                <c:pt idx="2">
                  <c:v>0.13910574750476543</c:v>
                </c:pt>
                <c:pt idx="3">
                  <c:v>0.13544916870377888</c:v>
                </c:pt>
                <c:pt idx="4">
                  <c:v>0.13168261752003305</c:v>
                </c:pt>
                <c:pt idx="5">
                  <c:v>0.1287073449052967</c:v>
                </c:pt>
                <c:pt idx="6">
                  <c:v>0.12719478867342601</c:v>
                </c:pt>
                <c:pt idx="7">
                  <c:v>0.12721873171029099</c:v>
                </c:pt>
                <c:pt idx="8">
                  <c:v>0.13020084284212383</c:v>
                </c:pt>
                <c:pt idx="9">
                  <c:v>0.13488620186153341</c:v>
                </c:pt>
                <c:pt idx="10">
                  <c:v>0.1389199634331803</c:v>
                </c:pt>
                <c:pt idx="11">
                  <c:v>0.14239199335168079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9161456"/>
        <c:axId val="-1929160912"/>
      </c:barChart>
      <c:catAx>
        <c:axId val="-192916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60912"/>
        <c:crosses val="autoZero"/>
        <c:auto val="1"/>
        <c:lblAlgn val="ctr"/>
        <c:lblOffset val="100"/>
        <c:noMultiLvlLbl val="0"/>
      </c:catAx>
      <c:valAx>
        <c:axId val="-19291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Βαθμός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Απόδοσης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Μέση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Μηνιαία Παραγόμενη Ενέργεια ενός Φ/Β στοιχείου 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3'!$T$9:$T$20</c:f>
              <c:numCache>
                <c:formatCode>0.00</c:formatCode>
                <c:ptCount val="12"/>
                <c:pt idx="0">
                  <c:v>10.731291939165144</c:v>
                </c:pt>
                <c:pt idx="1">
                  <c:v>14.656564038506469</c:v>
                </c:pt>
                <c:pt idx="2">
                  <c:v>23.649427120677601</c:v>
                </c:pt>
                <c:pt idx="3">
                  <c:v>32.149077854601273</c:v>
                </c:pt>
                <c:pt idx="4">
                  <c:v>41.563796180002313</c:v>
                </c:pt>
                <c:pt idx="5">
                  <c:v>43.34926038154947</c:v>
                </c:pt>
                <c:pt idx="6">
                  <c:v>43.023544565108395</c:v>
                </c:pt>
                <c:pt idx="7">
                  <c:v>39.819615208375929</c:v>
                </c:pt>
                <c:pt idx="8">
                  <c:v>30.330162254064295</c:v>
                </c:pt>
                <c:pt idx="9">
                  <c:v>20.785012677670949</c:v>
                </c:pt>
                <c:pt idx="10">
                  <c:v>13.749478767588421</c:v>
                </c:pt>
                <c:pt idx="11">
                  <c:v>10.183681804238832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29160368"/>
        <c:axId val="-1929158192"/>
      </c:barChart>
      <c:catAx>
        <c:axId val="-192916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58192"/>
        <c:crosses val="autoZero"/>
        <c:auto val="1"/>
        <c:lblAlgn val="ctr"/>
        <c:lblOffset val="100"/>
        <c:noMultiLvlLbl val="0"/>
      </c:catAx>
      <c:valAx>
        <c:axId val="-19291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Παραγόμενη Ενέργεια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kWh) 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92916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Μέση Συνολική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Μηνιαία Παραγόμενη Ενέργεια Φ/Β εγκαταστασης 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4291032292416"/>
          <c:y val="2.7472527472527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3'!$V$9:$V$20</c:f>
              <c:numCache>
                <c:formatCode>General</c:formatCode>
                <c:ptCount val="12"/>
                <c:pt idx="0">
                  <c:v>2.317959058859671</c:v>
                </c:pt>
                <c:pt idx="1">
                  <c:v>3.1658178323173969</c:v>
                </c:pt>
                <c:pt idx="2">
                  <c:v>5.1082762580663621</c:v>
                </c:pt>
                <c:pt idx="3">
                  <c:v>6.9442008165938747</c:v>
                </c:pt>
                <c:pt idx="4">
                  <c:v>8.9777799748804998</c:v>
                </c:pt>
                <c:pt idx="5">
                  <c:v>9.3634402424146863</c:v>
                </c:pt>
                <c:pt idx="6">
                  <c:v>9.293085626063414</c:v>
                </c:pt>
                <c:pt idx="7">
                  <c:v>8.6010368850092007</c:v>
                </c:pt>
                <c:pt idx="8">
                  <c:v>6.551315046877888</c:v>
                </c:pt>
                <c:pt idx="9">
                  <c:v>4.4895627383769252</c:v>
                </c:pt>
                <c:pt idx="10">
                  <c:v>2.9698874137990989</c:v>
                </c:pt>
                <c:pt idx="11">
                  <c:v>2.1996752697155877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33261680"/>
        <c:axId val="-1833267664"/>
      </c:barChart>
      <c:catAx>
        <c:axId val="-183326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7664"/>
        <c:crosses val="autoZero"/>
        <c:auto val="1"/>
        <c:lblAlgn val="ctr"/>
        <c:lblOffset val="100"/>
        <c:noMultiLvlLbl val="0"/>
      </c:catAx>
      <c:valAx>
        <c:axId val="-18332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Παραγόμενη Ενέργεια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(Μ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Wh) 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Μέση Συνολική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Μηνιαία Παραγόμενη Ενέργεια Φ/Β εγκαταστασης 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(PVGiS)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3'!$AA$9:$AA$20</c:f>
              <c:numCache>
                <c:formatCode>General</c:formatCode>
                <c:ptCount val="12"/>
                <c:pt idx="0">
                  <c:v>3.62412</c:v>
                </c:pt>
                <c:pt idx="1">
                  <c:v>3.8830500000000003</c:v>
                </c:pt>
                <c:pt idx="2">
                  <c:v>5.3729300000000002</c:v>
                </c:pt>
                <c:pt idx="3">
                  <c:v>5.97776</c:v>
                </c:pt>
                <c:pt idx="4">
                  <c:v>6.2945099999999998</c:v>
                </c:pt>
                <c:pt idx="5">
                  <c:v>6.38924</c:v>
                </c:pt>
                <c:pt idx="6">
                  <c:v>6.9326800000000004</c:v>
                </c:pt>
                <c:pt idx="7">
                  <c:v>6.9588400000000004</c:v>
                </c:pt>
                <c:pt idx="8">
                  <c:v>5.9310200000000002</c:v>
                </c:pt>
                <c:pt idx="9">
                  <c:v>4.7667999999999999</c:v>
                </c:pt>
                <c:pt idx="10">
                  <c:v>3.9875100000000003</c:v>
                </c:pt>
                <c:pt idx="11">
                  <c:v>3.2745300000000004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33268752"/>
        <c:axId val="-1833260048"/>
      </c:barChart>
      <c:catAx>
        <c:axId val="-18332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0048"/>
        <c:crosses val="autoZero"/>
        <c:auto val="1"/>
        <c:lblAlgn val="ctr"/>
        <c:lblOffset val="100"/>
        <c:noMultiLvlLbl val="0"/>
      </c:catAx>
      <c:valAx>
        <c:axId val="-18332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Παραγόμενη Ενέργεια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(Μ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Wh) 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Μέση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Μηνιαία Ηλιακή Ακτινοβολία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(PVGiS)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3'!$Y$9:$Y$20</c:f>
              <c:numCache>
                <c:formatCode>General</c:formatCode>
                <c:ptCount val="12"/>
                <c:pt idx="0">
                  <c:v>102.78</c:v>
                </c:pt>
                <c:pt idx="1">
                  <c:v>111.41</c:v>
                </c:pt>
                <c:pt idx="2">
                  <c:v>157.94</c:v>
                </c:pt>
                <c:pt idx="3">
                  <c:v>181.44</c:v>
                </c:pt>
                <c:pt idx="4">
                  <c:v>197.46</c:v>
                </c:pt>
                <c:pt idx="5">
                  <c:v>204.5</c:v>
                </c:pt>
                <c:pt idx="6">
                  <c:v>224.16</c:v>
                </c:pt>
                <c:pt idx="7">
                  <c:v>223.16</c:v>
                </c:pt>
                <c:pt idx="8">
                  <c:v>184.61</c:v>
                </c:pt>
                <c:pt idx="9">
                  <c:v>143.43</c:v>
                </c:pt>
                <c:pt idx="10">
                  <c:v>115.85</c:v>
                </c:pt>
                <c:pt idx="11">
                  <c:v>93.19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33268208"/>
        <c:axId val="-1833260592"/>
      </c:barChart>
      <c:catAx>
        <c:axId val="-183326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0592"/>
        <c:crosses val="autoZero"/>
        <c:auto val="1"/>
        <c:lblAlgn val="ctr"/>
        <c:lblOffset val="100"/>
        <c:noMultiLvlLbl val="0"/>
      </c:catAx>
      <c:valAx>
        <c:axId val="-1833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Ηλιακή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Ακτινοβολία (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kWh/m^2) 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3326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Times New Roman" panose="02020603050405020304" pitchFamily="18" charset="0"/>
                <a:cs typeface="Times New Roman" panose="02020603050405020304" pitchFamily="18" charset="0"/>
              </a:rPr>
              <a:t>Βαθμός</a:t>
            </a:r>
            <a:r>
              <a:rPr lang="el-GR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Απόδοσης ενός Φ/Β στοιχείου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(PVGiS)</a:t>
            </a:r>
            <a:endParaRPr lang="el-GR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'ερώτημα 3'!$A$9:$A$20</c:f>
              <c:strCache>
                <c:ptCount val="12"/>
                <c:pt idx="0">
                  <c:v>ΙΑΝ</c:v>
                </c:pt>
                <c:pt idx="1">
                  <c:v>ΦΕΒ</c:v>
                </c:pt>
                <c:pt idx="2">
                  <c:v>ΜΑΡ</c:v>
                </c:pt>
                <c:pt idx="3">
                  <c:v>ΑΠΡ</c:v>
                </c:pt>
                <c:pt idx="4">
                  <c:v>ΜΙΑ</c:v>
                </c:pt>
                <c:pt idx="5">
                  <c:v>ΙΟΥΝ</c:v>
                </c:pt>
                <c:pt idx="6">
                  <c:v>ΙΟΥΛ</c:v>
                </c:pt>
                <c:pt idx="7">
                  <c:v>ΑΥΓ</c:v>
                </c:pt>
                <c:pt idx="8">
                  <c:v>ΣΕΠ</c:v>
                </c:pt>
                <c:pt idx="9">
                  <c:v>ΟΚΤ</c:v>
                </c:pt>
                <c:pt idx="10">
                  <c:v>ΝΟΕ</c:v>
                </c:pt>
                <c:pt idx="11">
                  <c:v>ΔΕΚ</c:v>
                </c:pt>
              </c:strCache>
            </c:strRef>
          </c:cat>
          <c:val>
            <c:numRef>
              <c:f>'ερώτημα 3'!$Z$9:$Z$20</c:f>
              <c:numCache>
                <c:formatCode>General</c:formatCode>
                <c:ptCount val="12"/>
                <c:pt idx="0">
                  <c:v>0.12461459467515533</c:v>
                </c:pt>
                <c:pt idx="1">
                  <c:v>0.12317533773081707</c:v>
                </c:pt>
                <c:pt idx="2">
                  <c:v>0.12022478304122604</c:v>
                </c:pt>
                <c:pt idx="3">
                  <c:v>0.11643415363611385</c:v>
                </c:pt>
                <c:pt idx="4">
                  <c:v>0.11265688750953907</c:v>
                </c:pt>
                <c:pt idx="5">
                  <c:v>0.11041570322258649</c:v>
                </c:pt>
                <c:pt idx="6">
                  <c:v>0.10929945329651646</c:v>
                </c:pt>
                <c:pt idx="7">
                  <c:v>0.11020351622514311</c:v>
                </c:pt>
                <c:pt idx="8">
                  <c:v>0.11354006000653295</c:v>
                </c:pt>
                <c:pt idx="9">
                  <c:v>0.11745239728355676</c:v>
                </c:pt>
                <c:pt idx="10">
                  <c:v>0.12164120124038022</c:v>
                </c:pt>
                <c:pt idx="11">
                  <c:v>0.12418084624870564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8833280"/>
        <c:axId val="-1828825664"/>
      </c:barChart>
      <c:catAx>
        <c:axId val="-182883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Μήνες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28825664"/>
        <c:crosses val="autoZero"/>
        <c:auto val="1"/>
        <c:lblAlgn val="ctr"/>
        <c:lblOffset val="100"/>
        <c:noMultiLvlLbl val="0"/>
      </c:catAx>
      <c:valAx>
        <c:axId val="-18288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Βαθμός</a:t>
                </a:r>
                <a:r>
                  <a:rPr lang="el-GR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Απόδοσης</a:t>
                </a:r>
                <a:endParaRPr lang="el-GR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-182883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53340</xdr:rowOff>
    </xdr:from>
    <xdr:to>
      <xdr:col>7</xdr:col>
      <xdr:colOff>30480</xdr:colOff>
      <xdr:row>37</xdr:row>
      <xdr:rowOff>64770</xdr:rowOff>
    </xdr:to>
    <xdr:graphicFrame macro="">
      <xdr:nvGraphicFramePr>
        <xdr:cNvPr id="4" name="Γράφημα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39</xdr:row>
      <xdr:rowOff>15240</xdr:rowOff>
    </xdr:from>
    <xdr:to>
      <xdr:col>8</xdr:col>
      <xdr:colOff>373380</xdr:colOff>
      <xdr:row>55</xdr:row>
      <xdr:rowOff>83820</xdr:rowOff>
    </xdr:to>
    <xdr:graphicFrame macro="">
      <xdr:nvGraphicFramePr>
        <xdr:cNvPr id="6" name="Γράφημα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56</xdr:row>
      <xdr:rowOff>129540</xdr:rowOff>
    </xdr:from>
    <xdr:to>
      <xdr:col>8</xdr:col>
      <xdr:colOff>114300</xdr:colOff>
      <xdr:row>71</xdr:row>
      <xdr:rowOff>129540</xdr:rowOff>
    </xdr:to>
    <xdr:graphicFrame macro="">
      <xdr:nvGraphicFramePr>
        <xdr:cNvPr id="10" name="Γράφημα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160020</xdr:colOff>
      <xdr:row>24</xdr:row>
      <xdr:rowOff>106680</xdr:rowOff>
    </xdr:from>
    <xdr:to>
      <xdr:col>13</xdr:col>
      <xdr:colOff>533400</xdr:colOff>
      <xdr:row>39</xdr:row>
      <xdr:rowOff>137160</xdr:rowOff>
    </xdr:to>
    <xdr:graphicFrame macro="">
      <xdr:nvGraphicFramePr>
        <xdr:cNvPr id="8" name="Γράφημα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251460</xdr:colOff>
      <xdr:row>22</xdr:row>
      <xdr:rowOff>175260</xdr:rowOff>
    </xdr:from>
    <xdr:to>
      <xdr:col>27</xdr:col>
      <xdr:colOff>22860</xdr:colOff>
      <xdr:row>38</xdr:row>
      <xdr:rowOff>68580</xdr:rowOff>
    </xdr:to>
    <xdr:graphicFrame macro="">
      <xdr:nvGraphicFramePr>
        <xdr:cNvPr id="11" name="Γράφημα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114300</xdr:colOff>
      <xdr:row>39</xdr:row>
      <xdr:rowOff>53340</xdr:rowOff>
    </xdr:from>
    <xdr:to>
      <xdr:col>26</xdr:col>
      <xdr:colOff>358140</xdr:colOff>
      <xdr:row>55</xdr:row>
      <xdr:rowOff>64770</xdr:rowOff>
    </xdr:to>
    <xdr:graphicFrame macro="">
      <xdr:nvGraphicFramePr>
        <xdr:cNvPr id="12" name="Γράφημα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60960</xdr:colOff>
      <xdr:row>41</xdr:row>
      <xdr:rowOff>0</xdr:rowOff>
    </xdr:from>
    <xdr:to>
      <xdr:col>18</xdr:col>
      <xdr:colOff>449580</xdr:colOff>
      <xdr:row>57</xdr:row>
      <xdr:rowOff>68580</xdr:rowOff>
    </xdr:to>
    <xdr:graphicFrame macro="">
      <xdr:nvGraphicFramePr>
        <xdr:cNvPr id="13" name="Γράφημα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>
      <selection activeCell="J11" sqref="J11"/>
    </sheetView>
  </sheetViews>
  <sheetFormatPr defaultRowHeight="14.4" x14ac:dyDescent="0.3"/>
  <sheetData>
    <row r="2" spans="1:9" x14ac:dyDescent="0.3">
      <c r="A2" t="s">
        <v>8</v>
      </c>
      <c r="B2">
        <v>35</v>
      </c>
    </row>
    <row r="3" spans="1:9" x14ac:dyDescent="0.3">
      <c r="A3" t="s">
        <v>0</v>
      </c>
      <c r="B3" s="1">
        <v>0.28000000000000003</v>
      </c>
    </row>
    <row r="6" spans="1:9" x14ac:dyDescent="0.3">
      <c r="A6" t="s">
        <v>5</v>
      </c>
      <c r="H6" t="s">
        <v>6</v>
      </c>
    </row>
    <row r="7" spans="1:9" x14ac:dyDescent="0.3">
      <c r="A7" t="s">
        <v>1</v>
      </c>
      <c r="B7">
        <f>3.25</f>
        <v>3.25</v>
      </c>
      <c r="H7">
        <f>$B$3*B7</f>
        <v>0.91000000000000014</v>
      </c>
    </row>
    <row r="8" spans="1:9" x14ac:dyDescent="0.3">
      <c r="A8" t="s">
        <v>2</v>
      </c>
      <c r="B8">
        <v>4.0999999999999996</v>
      </c>
      <c r="H8">
        <f t="shared" ref="H8:H10" si="0">$B$3*B8</f>
        <v>1.1479999999999999</v>
      </c>
    </row>
    <row r="9" spans="1:9" x14ac:dyDescent="0.3">
      <c r="A9" t="s">
        <v>3</v>
      </c>
      <c r="B9">
        <f>3</f>
        <v>3</v>
      </c>
      <c r="H9">
        <f t="shared" si="0"/>
        <v>0.84000000000000008</v>
      </c>
    </row>
    <row r="10" spans="1:9" x14ac:dyDescent="0.3">
      <c r="A10" t="s">
        <v>4</v>
      </c>
      <c r="B10">
        <f>8</f>
        <v>8</v>
      </c>
      <c r="H10">
        <f t="shared" si="0"/>
        <v>2.2400000000000002</v>
      </c>
    </row>
    <row r="12" spans="1:9" x14ac:dyDescent="0.3">
      <c r="H12">
        <f>SUM(H7:H10)</f>
        <v>5.1379999999999999</v>
      </c>
    </row>
    <row r="14" spans="1:9" x14ac:dyDescent="0.3">
      <c r="G14" s="2" t="s">
        <v>7</v>
      </c>
      <c r="H14">
        <f>B2*H12</f>
        <v>179.82999999999998</v>
      </c>
      <c r="I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6"/>
  <sheetViews>
    <sheetView tabSelected="1" topLeftCell="H11" workbookViewId="0">
      <selection activeCell="K24" sqref="K24"/>
    </sheetView>
  </sheetViews>
  <sheetFormatPr defaultRowHeight="14.4" x14ac:dyDescent="0.3"/>
  <cols>
    <col min="6" max="6" width="12" bestFit="1" customWidth="1"/>
    <col min="9" max="10" width="9.6640625" bestFit="1" customWidth="1"/>
    <col min="11" max="11" width="10.44140625" bestFit="1" customWidth="1"/>
  </cols>
  <sheetData>
    <row r="2" spans="1:27" x14ac:dyDescent="0.3">
      <c r="A2" t="s">
        <v>10</v>
      </c>
      <c r="B2">
        <f>28</f>
        <v>28</v>
      </c>
      <c r="D2" t="s">
        <v>24</v>
      </c>
      <c r="E2">
        <f>14.12%</f>
        <v>0.14119999999999999</v>
      </c>
      <c r="G2" t="s">
        <v>34</v>
      </c>
      <c r="H2">
        <f>10%</f>
        <v>0.1</v>
      </c>
      <c r="J2" s="2" t="s">
        <v>41</v>
      </c>
      <c r="K2">
        <f>1.31</f>
        <v>1.31</v>
      </c>
      <c r="R2">
        <f>SUM(R9:R20)</f>
        <v>274.80145274940548</v>
      </c>
      <c r="S2">
        <f>(1-0.1)*R2</f>
        <v>247.32130747446493</v>
      </c>
    </row>
    <row r="3" spans="1:27" x14ac:dyDescent="0.3">
      <c r="A3" t="s">
        <v>11</v>
      </c>
      <c r="B3">
        <f>0.15</f>
        <v>0.15</v>
      </c>
      <c r="D3" t="s">
        <v>25</v>
      </c>
      <c r="E3">
        <f>45</f>
        <v>45</v>
      </c>
      <c r="F3" t="s">
        <v>26</v>
      </c>
      <c r="J3" t="s">
        <v>42</v>
      </c>
      <c r="K3">
        <v>216</v>
      </c>
    </row>
    <row r="4" spans="1:27" x14ac:dyDescent="0.3">
      <c r="A4" t="s">
        <v>14</v>
      </c>
      <c r="B4">
        <v>38.229999999999997</v>
      </c>
      <c r="D4" t="s">
        <v>29</v>
      </c>
      <c r="E4" s="1">
        <v>4.0000000000000001E-3</v>
      </c>
    </row>
    <row r="8" spans="1:27" x14ac:dyDescent="0.3">
      <c r="A8" t="s">
        <v>12</v>
      </c>
      <c r="B8" t="s">
        <v>13</v>
      </c>
      <c r="C8" t="s">
        <v>15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21</v>
      </c>
      <c r="J8" t="s">
        <v>20</v>
      </c>
      <c r="K8" t="s">
        <v>22</v>
      </c>
      <c r="L8" t="s">
        <v>23</v>
      </c>
      <c r="M8" t="s">
        <v>27</v>
      </c>
      <c r="N8" t="s">
        <v>28</v>
      </c>
      <c r="O8" t="s">
        <v>30</v>
      </c>
      <c r="P8" t="s">
        <v>31</v>
      </c>
      <c r="Q8" t="s">
        <v>32</v>
      </c>
      <c r="R8" t="s">
        <v>33</v>
      </c>
      <c r="S8" t="s">
        <v>35</v>
      </c>
      <c r="T8" t="s">
        <v>57</v>
      </c>
      <c r="V8" t="s">
        <v>63</v>
      </c>
      <c r="X8" t="s">
        <v>64</v>
      </c>
      <c r="Y8" t="s">
        <v>65</v>
      </c>
      <c r="Z8" t="s">
        <v>66</v>
      </c>
    </row>
    <row r="9" spans="1:27" x14ac:dyDescent="0.3">
      <c r="A9" t="s">
        <v>46</v>
      </c>
      <c r="B9">
        <v>17</v>
      </c>
      <c r="C9">
        <v>-20.9</v>
      </c>
      <c r="D9">
        <v>51</v>
      </c>
      <c r="E9">
        <v>0.37</v>
      </c>
      <c r="F9">
        <f>(1.188-2.272*E9+9.473*E9^2-21.865*E9^3+14.648*E9^4)*D9</f>
        <v>41.371860872279996</v>
      </c>
      <c r="G9">
        <v>23.1</v>
      </c>
      <c r="H9">
        <f>MIN(ACOS((-TAN(RADIANS($B$4))*TAN(RADIANS(C9)))),ACOS(-TAN(RADIANS($B$4-$B$2))*TAN(RADIANS(C9))))</f>
        <v>1.2652436106052773</v>
      </c>
      <c r="I9">
        <f>COS(-TAN(RADIANS($B$4))*TAN(RADIANS(C9)))</f>
        <v>0.95509374185110374</v>
      </c>
      <c r="J9">
        <f>(COS(RADIANS($B$4-$B$2))*COS(RADIANS(C9))*SIN(H9)+(3.14/180)*H9*SIN(RADIANS($B$4-$B$2))*SIN(C9))/(COS(RADIANS($B$4))*COS(RADIANS(C9))*SIN(I9)+(3.14/180)*I9*SIN(RADIANS($B$4))*SIN(C9))</f>
        <v>1.480297575162997</v>
      </c>
      <c r="K9" s="3">
        <f>(D9-G9)*J9+0.5*G9*(1+COS(RADIANS($B$2)))+0.5*$B$3*D9*(1-COS(RADIANS($B$2)))</f>
        <v>63.496072501882821</v>
      </c>
      <c r="L9">
        <f>ABS($B$4-C9)</f>
        <v>59.129999999999995</v>
      </c>
      <c r="M9">
        <f>1-1.17*10^(-4)*(L9-$B$2)^2</f>
        <v>0.88661800270000002</v>
      </c>
      <c r="N9">
        <f>M9*(219+832*E9)*($E$3-20)/800</f>
        <v>14.597057141952122</v>
      </c>
      <c r="O9">
        <v>6.6</v>
      </c>
      <c r="P9">
        <f>N9+O9</f>
        <v>21.197057141952122</v>
      </c>
      <c r="Q9">
        <f>$E$2*(1-$E$4*(P9-25))</f>
        <v>0.14334790212622545</v>
      </c>
      <c r="R9">
        <f>Q9*K9</f>
        <v>9.1020287863996128</v>
      </c>
      <c r="S9" s="3">
        <f>R9*(1-$H$2)</f>
        <v>8.191825907759652</v>
      </c>
      <c r="T9" s="3">
        <f>S9*$K$2</f>
        <v>10.731291939165144</v>
      </c>
      <c r="V9">
        <f>$K$3*T9/1000</f>
        <v>2.317959058859671</v>
      </c>
      <c r="X9">
        <v>3624.12</v>
      </c>
      <c r="Y9">
        <v>102.78</v>
      </c>
      <c r="Z9">
        <f>X9/($K$2*$K$3*Y9)</f>
        <v>0.12461459467515533</v>
      </c>
      <c r="AA9">
        <f>X9/1000</f>
        <v>3.62412</v>
      </c>
    </row>
    <row r="10" spans="1:27" x14ac:dyDescent="0.3">
      <c r="A10" t="s">
        <v>47</v>
      </c>
      <c r="B10">
        <v>47</v>
      </c>
      <c r="C10">
        <v>-13</v>
      </c>
      <c r="D10">
        <v>70</v>
      </c>
      <c r="E10">
        <v>0.42</v>
      </c>
      <c r="F10">
        <f t="shared" ref="F10:F20" si="0">(1.188-2.272*E10+9.473*E10^2-21.865*E10^3+14.648*E10^4)*D10</f>
        <v>51.846501705600005</v>
      </c>
      <c r="G10">
        <v>31</v>
      </c>
      <c r="H10">
        <f t="shared" ref="H10:H20" si="1">MIN(ACOS((-TAN(RADIANS($B$4))*TAN(RADIANS(C10)))),ACOS(-TAN(RADIANS($B$4-$B$2))*TAN(RADIANS(C10))))</f>
        <v>1.3879073022738397</v>
      </c>
      <c r="I10">
        <f t="shared" ref="I10:I20" si="2">COS(-TAN(RADIANS($B$4))*TAN(RADIANS(C10)))</f>
        <v>0.98350697570078405</v>
      </c>
      <c r="J10">
        <f t="shared" ref="J10:J20" si="3">(COS(RADIANS($B$4-$B$2))*COS(RADIANS(C10))*SIN(H10)+(3.14/180)*H10*SIN(RADIANS($B$4-$B$2))*SIN(C10))/(COS(RADIANS($B$4))*COS(RADIANS(C10))*SIN(I10)+(3.14/180)*I10*SIN(RADIANS($B$4))*SIN(C10))</f>
        <v>1.4874225326423263</v>
      </c>
      <c r="K10" s="3">
        <f t="shared" ref="K10:K20" si="4">(D10-G10)*J10+0.5*G10*(1+COS(RADIANS($B$2)))+0.5*$B$3*D10*(1-COS(RADIANS($B$2)))</f>
        <v>87.809691599854716</v>
      </c>
      <c r="L10">
        <f t="shared" ref="L10:L20" si="5">ABS($B$4-C10)</f>
        <v>51.23</v>
      </c>
      <c r="M10">
        <f t="shared" ref="M10:M19" si="6">1-1.17*10^(-4)*(L10-$B$2)^2</f>
        <v>0.93686295070000003</v>
      </c>
      <c r="N10">
        <f t="shared" ref="N10:N20" si="7">M10*(219+832*E10)*($E$3-20)/800</f>
        <v>16.642199240497128</v>
      </c>
      <c r="O10">
        <v>7.7</v>
      </c>
      <c r="P10">
        <f t="shared" ref="P10:P20" si="8">N10+O10</f>
        <v>24.342199240497127</v>
      </c>
      <c r="Q10">
        <f t="shared" ref="Q10:Q20" si="9">$E$2*(1-$E$4*(P10-25))</f>
        <v>0.14157152586896724</v>
      </c>
      <c r="R10">
        <f t="shared" ref="R10:R20" si="10">Q10*K10</f>
        <v>12.431352025874867</v>
      </c>
      <c r="S10" s="3">
        <f t="shared" ref="S10:S21" si="11">R10*(1-$H$2)</f>
        <v>11.18821682328738</v>
      </c>
      <c r="T10" s="3">
        <f t="shared" ref="T10:T21" si="12">S10*$K$2</f>
        <v>14.656564038506469</v>
      </c>
      <c r="V10">
        <f t="shared" ref="V10:V20" si="13">$K$3*T10/1000</f>
        <v>3.1658178323173969</v>
      </c>
      <c r="X10">
        <v>3883.05</v>
      </c>
      <c r="Y10">
        <v>111.41</v>
      </c>
      <c r="Z10">
        <f t="shared" ref="Z10:Z20" si="14">X10/($K$2*$K$3*Y10)</f>
        <v>0.12317533773081707</v>
      </c>
      <c r="AA10">
        <f t="shared" ref="AA10:AA20" si="15">X10/1000</f>
        <v>3.8830500000000003</v>
      </c>
    </row>
    <row r="11" spans="1:27" x14ac:dyDescent="0.3">
      <c r="A11" t="s">
        <v>48</v>
      </c>
      <c r="B11">
        <v>75</v>
      </c>
      <c r="C11">
        <v>-2.4</v>
      </c>
      <c r="D11">
        <v>114</v>
      </c>
      <c r="E11">
        <v>0.47</v>
      </c>
      <c r="F11">
        <f t="shared" si="0"/>
        <v>74.947188478320058</v>
      </c>
      <c r="G11">
        <v>49.8</v>
      </c>
      <c r="H11">
        <f t="shared" si="1"/>
        <v>1.5377729546425027</v>
      </c>
      <c r="I11">
        <f t="shared" si="2"/>
        <v>0.99945497614676515</v>
      </c>
      <c r="J11">
        <f t="shared" si="3"/>
        <v>1.5001968817129714</v>
      </c>
      <c r="K11" s="3">
        <f t="shared" si="4"/>
        <v>144.19883294921621</v>
      </c>
      <c r="L11">
        <f t="shared" si="5"/>
        <v>40.629999999999995</v>
      </c>
      <c r="M11">
        <f t="shared" si="6"/>
        <v>0.98133652270000005</v>
      </c>
      <c r="N11">
        <f t="shared" si="7"/>
        <v>18.707954134622124</v>
      </c>
      <c r="O11">
        <v>10</v>
      </c>
      <c r="P11">
        <f t="shared" si="8"/>
        <v>28.707954134622124</v>
      </c>
      <c r="Q11">
        <f t="shared" si="9"/>
        <v>0.13910574750476543</v>
      </c>
      <c r="R11">
        <f t="shared" si="10"/>
        <v>20.058886446715519</v>
      </c>
      <c r="S11" s="3">
        <f t="shared" si="11"/>
        <v>18.052997802043969</v>
      </c>
      <c r="T11" s="3">
        <f t="shared" si="12"/>
        <v>23.649427120677601</v>
      </c>
      <c r="V11">
        <f t="shared" si="13"/>
        <v>5.1082762580663621</v>
      </c>
      <c r="X11">
        <v>5372.93</v>
      </c>
      <c r="Y11">
        <v>157.94</v>
      </c>
      <c r="Z11">
        <f t="shared" si="14"/>
        <v>0.12022478304122604</v>
      </c>
      <c r="AA11">
        <f t="shared" si="15"/>
        <v>5.3729300000000002</v>
      </c>
    </row>
    <row r="12" spans="1:27" x14ac:dyDescent="0.3">
      <c r="A12" t="s">
        <v>49</v>
      </c>
      <c r="B12">
        <v>105</v>
      </c>
      <c r="C12">
        <v>9.4</v>
      </c>
      <c r="D12">
        <v>158</v>
      </c>
      <c r="E12">
        <v>0.54</v>
      </c>
      <c r="F12">
        <f t="shared" si="0"/>
        <v>83.111805095040069</v>
      </c>
      <c r="G12">
        <v>65.7</v>
      </c>
      <c r="H12">
        <f t="shared" si="1"/>
        <v>1.6006772224468375</v>
      </c>
      <c r="I12">
        <f t="shared" si="2"/>
        <v>0.99150806539051595</v>
      </c>
      <c r="J12">
        <f t="shared" si="3"/>
        <v>1.4959278114426648</v>
      </c>
      <c r="K12" s="3">
        <f t="shared" si="4"/>
        <v>201.31603644619543</v>
      </c>
      <c r="L12">
        <f t="shared" si="5"/>
        <v>28.83</v>
      </c>
      <c r="M12">
        <f t="shared" si="6"/>
        <v>0.99991939870000002</v>
      </c>
      <c r="N12">
        <f t="shared" si="7"/>
        <v>20.882066742601129</v>
      </c>
      <c r="O12">
        <v>14.3</v>
      </c>
      <c r="P12">
        <f t="shared" si="8"/>
        <v>35.18206674260113</v>
      </c>
      <c r="Q12">
        <f t="shared" si="9"/>
        <v>0.13544916870377888</v>
      </c>
      <c r="R12">
        <f t="shared" si="10"/>
        <v>27.268089783376823</v>
      </c>
      <c r="S12" s="3">
        <f t="shared" si="11"/>
        <v>24.54128080503914</v>
      </c>
      <c r="T12" s="3">
        <f t="shared" si="12"/>
        <v>32.149077854601273</v>
      </c>
      <c r="V12">
        <f t="shared" si="13"/>
        <v>6.9442008165938747</v>
      </c>
      <c r="X12">
        <v>5977.76</v>
      </c>
      <c r="Y12">
        <v>181.44</v>
      </c>
      <c r="Z12">
        <f t="shared" si="14"/>
        <v>0.11643415363611385</v>
      </c>
      <c r="AA12">
        <f t="shared" si="15"/>
        <v>5.97776</v>
      </c>
    </row>
    <row r="13" spans="1:27" x14ac:dyDescent="0.3">
      <c r="A13" t="s">
        <v>45</v>
      </c>
      <c r="B13">
        <v>135</v>
      </c>
      <c r="C13">
        <v>18.8</v>
      </c>
      <c r="D13">
        <v>206</v>
      </c>
      <c r="E13">
        <v>0.6</v>
      </c>
      <c r="F13">
        <f t="shared" si="0"/>
        <v>84.587884800000097</v>
      </c>
      <c r="G13">
        <v>82.2</v>
      </c>
      <c r="H13">
        <f t="shared" si="1"/>
        <v>1.6322716999998244</v>
      </c>
      <c r="I13">
        <f t="shared" si="2"/>
        <v>0.96425502040191957</v>
      </c>
      <c r="J13">
        <f t="shared" si="3"/>
        <v>1.5227588493916187</v>
      </c>
      <c r="K13" s="3">
        <f t="shared" si="4"/>
        <v>267.71515131151386</v>
      </c>
      <c r="L13">
        <f t="shared" si="5"/>
        <v>19.429999999999996</v>
      </c>
      <c r="M13">
        <f t="shared" si="6"/>
        <v>0.99140694669999996</v>
      </c>
      <c r="N13">
        <f t="shared" si="7"/>
        <v>22.250889659998123</v>
      </c>
      <c r="O13">
        <v>19.600000000000001</v>
      </c>
      <c r="P13">
        <f t="shared" si="8"/>
        <v>41.850889659998124</v>
      </c>
      <c r="Q13">
        <f t="shared" si="9"/>
        <v>0.13168261752003305</v>
      </c>
      <c r="R13">
        <f t="shared" si="10"/>
        <v>35.25343187447185</v>
      </c>
      <c r="S13" s="3">
        <f t="shared" si="11"/>
        <v>31.728088687024666</v>
      </c>
      <c r="T13" s="3">
        <f t="shared" si="12"/>
        <v>41.563796180002313</v>
      </c>
      <c r="V13">
        <f t="shared" si="13"/>
        <v>8.9777799748804998</v>
      </c>
      <c r="X13">
        <v>6294.51</v>
      </c>
      <c r="Y13">
        <v>197.46</v>
      </c>
      <c r="Z13">
        <f t="shared" si="14"/>
        <v>0.11265688750953907</v>
      </c>
      <c r="AA13">
        <f t="shared" si="15"/>
        <v>6.2945099999999998</v>
      </c>
    </row>
    <row r="14" spans="1:27" x14ac:dyDescent="0.3">
      <c r="A14" t="s">
        <v>50</v>
      </c>
      <c r="B14">
        <v>162</v>
      </c>
      <c r="C14">
        <v>23.1</v>
      </c>
      <c r="D14">
        <v>216</v>
      </c>
      <c r="E14">
        <v>0.62</v>
      </c>
      <c r="F14">
        <f t="shared" si="0"/>
        <v>80.822270292480098</v>
      </c>
      <c r="G14">
        <v>85.7</v>
      </c>
      <c r="H14">
        <f t="shared" si="1"/>
        <v>1.6478491013727155</v>
      </c>
      <c r="I14">
        <f t="shared" si="2"/>
        <v>0.94407690360897922</v>
      </c>
      <c r="J14">
        <f t="shared" si="3"/>
        <v>1.5586292749444779</v>
      </c>
      <c r="K14" s="3">
        <f t="shared" si="4"/>
        <v>285.66994787495588</v>
      </c>
      <c r="L14">
        <f t="shared" si="5"/>
        <v>15.129999999999995</v>
      </c>
      <c r="M14">
        <f t="shared" si="6"/>
        <v>0.98062048270000002</v>
      </c>
      <c r="N14">
        <f t="shared" si="7"/>
        <v>22.518723609602127</v>
      </c>
      <c r="O14">
        <v>24.6</v>
      </c>
      <c r="P14">
        <f t="shared" si="8"/>
        <v>47.118723609602128</v>
      </c>
      <c r="Q14">
        <f t="shared" si="9"/>
        <v>0.1287073449052967</v>
      </c>
      <c r="R14">
        <f t="shared" si="10"/>
        <v>36.767820510220076</v>
      </c>
      <c r="S14" s="3">
        <f t="shared" si="11"/>
        <v>33.091038459198067</v>
      </c>
      <c r="T14" s="3">
        <f t="shared" si="12"/>
        <v>43.34926038154947</v>
      </c>
      <c r="V14">
        <f t="shared" si="13"/>
        <v>9.3634402424146863</v>
      </c>
      <c r="X14">
        <v>6389.24</v>
      </c>
      <c r="Y14">
        <v>204.5</v>
      </c>
      <c r="Z14">
        <f t="shared" si="14"/>
        <v>0.11041570322258649</v>
      </c>
      <c r="AA14">
        <f t="shared" si="15"/>
        <v>6.38924</v>
      </c>
    </row>
    <row r="15" spans="1:27" x14ac:dyDescent="0.3">
      <c r="A15" t="s">
        <v>51</v>
      </c>
      <c r="B15">
        <v>198</v>
      </c>
      <c r="C15">
        <v>21.2</v>
      </c>
      <c r="D15">
        <v>220</v>
      </c>
      <c r="E15">
        <v>0.63</v>
      </c>
      <c r="F15">
        <f t="shared" si="0"/>
        <v>78.471749901600148</v>
      </c>
      <c r="G15">
        <v>85.4</v>
      </c>
      <c r="H15">
        <f t="shared" si="1"/>
        <v>1.6408529301296737</v>
      </c>
      <c r="I15">
        <f t="shared" si="2"/>
        <v>0.95367981982478955</v>
      </c>
      <c r="J15">
        <f t="shared" si="3"/>
        <v>1.5197758483575672</v>
      </c>
      <c r="K15" s="3">
        <f t="shared" si="4"/>
        <v>286.89505612183245</v>
      </c>
      <c r="L15">
        <f t="shared" si="5"/>
        <v>17.029999999999998</v>
      </c>
      <c r="M15">
        <f t="shared" si="6"/>
        <v>0.98592011469999996</v>
      </c>
      <c r="N15">
        <f t="shared" si="7"/>
        <v>22.896762263764128</v>
      </c>
      <c r="O15">
        <v>26.9</v>
      </c>
      <c r="P15">
        <f t="shared" si="8"/>
        <v>49.796762263764123</v>
      </c>
      <c r="Q15">
        <f t="shared" si="9"/>
        <v>0.12719478867342601</v>
      </c>
      <c r="R15">
        <f t="shared" si="10"/>
        <v>36.491556034867173</v>
      </c>
      <c r="S15" s="3">
        <f t="shared" si="11"/>
        <v>32.842400431380455</v>
      </c>
      <c r="T15" s="3">
        <f t="shared" si="12"/>
        <v>43.023544565108395</v>
      </c>
      <c r="V15">
        <f t="shared" si="13"/>
        <v>9.293085626063414</v>
      </c>
      <c r="X15">
        <v>6932.68</v>
      </c>
      <c r="Y15">
        <v>224.16</v>
      </c>
      <c r="Z15">
        <f t="shared" si="14"/>
        <v>0.10929945329651646</v>
      </c>
      <c r="AA15">
        <f t="shared" si="15"/>
        <v>6.9326800000000004</v>
      </c>
    </row>
    <row r="16" spans="1:27" x14ac:dyDescent="0.3">
      <c r="A16" t="s">
        <v>52</v>
      </c>
      <c r="B16">
        <v>228</v>
      </c>
      <c r="C16">
        <v>13.5</v>
      </c>
      <c r="D16">
        <v>204</v>
      </c>
      <c r="E16">
        <v>0.64</v>
      </c>
      <c r="F16">
        <f t="shared" si="0"/>
        <v>69.321003294720057</v>
      </c>
      <c r="G16">
        <v>73.7</v>
      </c>
      <c r="H16">
        <f t="shared" si="1"/>
        <v>1.6141366674354554</v>
      </c>
      <c r="I16">
        <f t="shared" si="2"/>
        <v>0.98216873744274635</v>
      </c>
      <c r="J16">
        <f t="shared" si="3"/>
        <v>1.4911950396541744</v>
      </c>
      <c r="K16" s="3">
        <f t="shared" si="4"/>
        <v>265.48023429304885</v>
      </c>
      <c r="L16">
        <f t="shared" si="5"/>
        <v>24.729999999999997</v>
      </c>
      <c r="M16">
        <f t="shared" si="6"/>
        <v>0.99874893070000004</v>
      </c>
      <c r="N16">
        <f t="shared" si="7"/>
        <v>23.454370201326128</v>
      </c>
      <c r="O16">
        <v>26.3</v>
      </c>
      <c r="P16">
        <f t="shared" si="8"/>
        <v>49.754370201326125</v>
      </c>
      <c r="Q16">
        <f t="shared" si="9"/>
        <v>0.12721873171029099</v>
      </c>
      <c r="R16">
        <f t="shared" si="10"/>
        <v>33.774058700912576</v>
      </c>
      <c r="S16" s="3">
        <f t="shared" si="11"/>
        <v>30.396652830821321</v>
      </c>
      <c r="T16" s="3">
        <f t="shared" si="12"/>
        <v>39.819615208375929</v>
      </c>
      <c r="V16">
        <f t="shared" si="13"/>
        <v>8.6010368850092007</v>
      </c>
      <c r="X16">
        <v>6958.84</v>
      </c>
      <c r="Y16">
        <v>223.16</v>
      </c>
      <c r="Z16">
        <f t="shared" si="14"/>
        <v>0.11020351622514311</v>
      </c>
      <c r="AA16">
        <f t="shared" si="15"/>
        <v>6.9588400000000004</v>
      </c>
    </row>
    <row r="17" spans="1:27" x14ac:dyDescent="0.3">
      <c r="A17" t="s">
        <v>53</v>
      </c>
      <c r="B17">
        <v>258</v>
      </c>
      <c r="C17">
        <v>2.2000000000000002</v>
      </c>
      <c r="D17">
        <v>153</v>
      </c>
      <c r="E17">
        <v>0.6</v>
      </c>
      <c r="F17">
        <f t="shared" si="0"/>
        <v>62.824982400000067</v>
      </c>
      <c r="G17">
        <v>55.3</v>
      </c>
      <c r="H17">
        <f t="shared" si="1"/>
        <v>1.5777293019999359</v>
      </c>
      <c r="I17">
        <f t="shared" si="2"/>
        <v>0.99954210753735706</v>
      </c>
      <c r="J17">
        <f t="shared" si="3"/>
        <v>1.4756930557256456</v>
      </c>
      <c r="K17" s="3">
        <f t="shared" si="4"/>
        <v>197.58188885888873</v>
      </c>
      <c r="L17">
        <f t="shared" si="5"/>
        <v>36.029999999999994</v>
      </c>
      <c r="M17">
        <f t="shared" si="6"/>
        <v>0.99245573470000004</v>
      </c>
      <c r="N17">
        <f t="shared" si="7"/>
        <v>22.274428395673127</v>
      </c>
      <c r="O17">
        <v>22.2</v>
      </c>
      <c r="P17">
        <f t="shared" si="8"/>
        <v>44.474428395673129</v>
      </c>
      <c r="Q17">
        <f t="shared" si="9"/>
        <v>0.13020084284212383</v>
      </c>
      <c r="R17">
        <f t="shared" si="10"/>
        <v>25.72532845976615</v>
      </c>
      <c r="S17" s="3">
        <f t="shared" si="11"/>
        <v>23.152795613789536</v>
      </c>
      <c r="T17" s="3">
        <f t="shared" si="12"/>
        <v>30.330162254064295</v>
      </c>
      <c r="V17">
        <f t="shared" si="13"/>
        <v>6.551315046877888</v>
      </c>
      <c r="X17">
        <v>5931.02</v>
      </c>
      <c r="Y17">
        <v>184.61</v>
      </c>
      <c r="Z17">
        <f t="shared" si="14"/>
        <v>0.11354006000653295</v>
      </c>
      <c r="AA17">
        <f t="shared" si="15"/>
        <v>5.9310200000000002</v>
      </c>
    </row>
    <row r="18" spans="1:27" x14ac:dyDescent="0.3">
      <c r="A18" t="s">
        <v>54</v>
      </c>
      <c r="B18">
        <v>289</v>
      </c>
      <c r="C18">
        <v>-9.6</v>
      </c>
      <c r="D18">
        <v>102</v>
      </c>
      <c r="E18">
        <v>0.51</v>
      </c>
      <c r="F18">
        <f t="shared" si="0"/>
        <v>59.543502402960058</v>
      </c>
      <c r="G18">
        <v>39.4</v>
      </c>
      <c r="H18">
        <f t="shared" si="1"/>
        <v>1.4371574764382</v>
      </c>
      <c r="I18">
        <f t="shared" si="2"/>
        <v>0.99113648644698227</v>
      </c>
      <c r="J18">
        <f t="shared" si="3"/>
        <v>1.4809662584533843</v>
      </c>
      <c r="K18" s="3">
        <f t="shared" si="4"/>
        <v>130.69800627313191</v>
      </c>
      <c r="L18">
        <f t="shared" si="5"/>
        <v>47.83</v>
      </c>
      <c r="M18">
        <f t="shared" si="6"/>
        <v>0.95399221870000006</v>
      </c>
      <c r="N18">
        <f t="shared" si="7"/>
        <v>19.178821066690123</v>
      </c>
      <c r="O18">
        <v>17</v>
      </c>
      <c r="P18">
        <f t="shared" si="8"/>
        <v>36.178821066690119</v>
      </c>
      <c r="Q18">
        <f t="shared" si="9"/>
        <v>0.13488620186153341</v>
      </c>
      <c r="R18">
        <f t="shared" si="10"/>
        <v>17.629357657057632</v>
      </c>
      <c r="S18" s="3">
        <f t="shared" si="11"/>
        <v>15.86642189135187</v>
      </c>
      <c r="T18" s="3">
        <f t="shared" si="12"/>
        <v>20.785012677670949</v>
      </c>
      <c r="V18">
        <f t="shared" si="13"/>
        <v>4.4895627383769252</v>
      </c>
      <c r="X18">
        <v>4766.8</v>
      </c>
      <c r="Y18">
        <v>143.43</v>
      </c>
      <c r="Z18">
        <f t="shared" si="14"/>
        <v>0.11745239728355676</v>
      </c>
      <c r="AA18">
        <f t="shared" si="15"/>
        <v>4.7667999999999999</v>
      </c>
    </row>
    <row r="19" spans="1:27" x14ac:dyDescent="0.3">
      <c r="A19" t="s">
        <v>55</v>
      </c>
      <c r="B19">
        <v>320</v>
      </c>
      <c r="C19">
        <v>-18.899999999999999</v>
      </c>
      <c r="D19">
        <v>66</v>
      </c>
      <c r="E19">
        <v>0.46</v>
      </c>
      <c r="F19">
        <f t="shared" si="0"/>
        <v>44.548212382080045</v>
      </c>
      <c r="G19">
        <v>25.8</v>
      </c>
      <c r="H19">
        <f t="shared" si="1"/>
        <v>1.2977001512506825</v>
      </c>
      <c r="I19">
        <f t="shared" si="2"/>
        <v>0.96384710022123743</v>
      </c>
      <c r="J19">
        <f t="shared" si="3"/>
        <v>1.469603657926069</v>
      </c>
      <c r="K19" s="3">
        <f t="shared" si="4"/>
        <v>83.947500411856439</v>
      </c>
      <c r="L19">
        <f t="shared" si="5"/>
        <v>57.129999999999995</v>
      </c>
      <c r="M19">
        <f t="shared" si="6"/>
        <v>0.90071884270000002</v>
      </c>
      <c r="N19">
        <f t="shared" si="7"/>
        <v>16.936891938420125</v>
      </c>
      <c r="O19">
        <v>12.1</v>
      </c>
      <c r="P19">
        <f t="shared" si="8"/>
        <v>29.036891938420126</v>
      </c>
      <c r="Q19">
        <f t="shared" si="9"/>
        <v>0.1389199634331803</v>
      </c>
      <c r="R19">
        <f t="shared" si="10"/>
        <v>11.661983687521985</v>
      </c>
      <c r="S19" s="3">
        <f t="shared" si="11"/>
        <v>10.495785318769787</v>
      </c>
      <c r="T19" s="3">
        <f t="shared" si="12"/>
        <v>13.749478767588421</v>
      </c>
      <c r="V19">
        <f t="shared" si="13"/>
        <v>2.9698874137990989</v>
      </c>
      <c r="X19">
        <v>3987.51</v>
      </c>
      <c r="Y19">
        <v>115.85</v>
      </c>
      <c r="Z19">
        <f t="shared" si="14"/>
        <v>0.12164120124038022</v>
      </c>
      <c r="AA19">
        <f t="shared" si="15"/>
        <v>3.9875100000000003</v>
      </c>
    </row>
    <row r="20" spans="1:27" x14ac:dyDescent="0.3">
      <c r="A20" t="s">
        <v>56</v>
      </c>
      <c r="B20">
        <v>351</v>
      </c>
      <c r="C20">
        <v>-23</v>
      </c>
      <c r="D20">
        <v>49</v>
      </c>
      <c r="E20">
        <v>0.39</v>
      </c>
      <c r="F20">
        <f t="shared" si="0"/>
        <v>38.446683931320017</v>
      </c>
      <c r="G20">
        <v>20.8</v>
      </c>
      <c r="H20">
        <f t="shared" si="1"/>
        <v>1.2298397295219519</v>
      </c>
      <c r="I20">
        <f t="shared" si="2"/>
        <v>0.94461108482632195</v>
      </c>
      <c r="J20">
        <f t="shared" si="3"/>
        <v>1.4414043290508218</v>
      </c>
      <c r="K20" s="3">
        <f t="shared" si="4"/>
        <v>60.66042464120946</v>
      </c>
      <c r="L20">
        <f t="shared" si="5"/>
        <v>61.23</v>
      </c>
      <c r="M20">
        <f>1-1.17*10^(-4)*(L20-$B$2)^2</f>
        <v>0.87080475070000007</v>
      </c>
      <c r="N20">
        <f t="shared" si="7"/>
        <v>14.789530184701128</v>
      </c>
      <c r="O20">
        <v>8.1</v>
      </c>
      <c r="P20">
        <f t="shared" si="8"/>
        <v>22.88953018470113</v>
      </c>
      <c r="Q20">
        <f t="shared" si="9"/>
        <v>0.14239199335168079</v>
      </c>
      <c r="R20">
        <f t="shared" si="10"/>
        <v>8.6375587822212303</v>
      </c>
      <c r="S20" s="3">
        <f t="shared" si="11"/>
        <v>7.7738029039991074</v>
      </c>
      <c r="T20" s="3">
        <f t="shared" si="12"/>
        <v>10.183681804238832</v>
      </c>
      <c r="V20">
        <f t="shared" si="13"/>
        <v>2.1996752697155877</v>
      </c>
      <c r="X20">
        <v>3274.53</v>
      </c>
      <c r="Y20">
        <v>93.19</v>
      </c>
      <c r="Z20">
        <f t="shared" si="14"/>
        <v>0.12418084624870564</v>
      </c>
      <c r="AA20">
        <f t="shared" si="15"/>
        <v>3.2745300000000004</v>
      </c>
    </row>
    <row r="21" spans="1:27" x14ac:dyDescent="0.3">
      <c r="S21" s="3"/>
      <c r="T21" s="3"/>
    </row>
    <row r="22" spans="1:27" x14ac:dyDescent="0.3">
      <c r="J22" s="2" t="s">
        <v>58</v>
      </c>
      <c r="K22">
        <f>100*K2*K3</f>
        <v>28296</v>
      </c>
      <c r="L22" t="s">
        <v>59</v>
      </c>
      <c r="R22" s="2" t="s">
        <v>36</v>
      </c>
      <c r="S22" s="3">
        <f>SUM(S9:S21)</f>
        <v>247.32130747446493</v>
      </c>
      <c r="T22" t="s">
        <v>37</v>
      </c>
      <c r="U22" t="s">
        <v>38</v>
      </c>
      <c r="V22">
        <f>SUM(V9:V20)</f>
        <v>69.982037162974606</v>
      </c>
    </row>
    <row r="23" spans="1:27" x14ac:dyDescent="0.3">
      <c r="J23" s="2" t="s">
        <v>60</v>
      </c>
      <c r="K23">
        <f>Q24*0.11*1000</f>
        <v>7698.0240879272069</v>
      </c>
      <c r="L23" t="s">
        <v>59</v>
      </c>
      <c r="P23" t="s">
        <v>40</v>
      </c>
      <c r="R23">
        <f>S22*K2</f>
        <v>323.99091279154908</v>
      </c>
      <c r="S23" t="s">
        <v>43</v>
      </c>
    </row>
    <row r="24" spans="1:27" x14ac:dyDescent="0.3">
      <c r="J24" t="s">
        <v>61</v>
      </c>
      <c r="K24">
        <f>K23/K22</f>
        <v>0.27205343822191147</v>
      </c>
      <c r="L24" t="s">
        <v>62</v>
      </c>
      <c r="P24" t="s">
        <v>39</v>
      </c>
      <c r="Q24" s="3">
        <f>216*R23/1000</f>
        <v>69.982037162974606</v>
      </c>
      <c r="R24" t="s">
        <v>9</v>
      </c>
    </row>
    <row r="26" spans="1:27" x14ac:dyDescent="0.3">
      <c r="P26" s="2" t="s">
        <v>44</v>
      </c>
      <c r="Q26">
        <f>Q24/'ερώτημα 2'!H14</f>
        <v>0.38915663216912982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ερώτημα 2</vt:lpstr>
      <vt:lpstr>ερώτημα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2022-01-05T17:00:35Z</dcterms:created>
  <dcterms:modified xsi:type="dcterms:W3CDTF">2022-01-09T20:02:50Z</dcterms:modified>
</cp:coreProperties>
</file>